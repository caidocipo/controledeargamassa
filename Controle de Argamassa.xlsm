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lanejamento02\Dropbox\Controle de Argamassa\"/>
    </mc:Choice>
  </mc:AlternateContent>
  <xr:revisionPtr revIDLastSave="0" documentId="13_ncr:1_{D28FBBC6-10B8-4BEF-972B-6F4BDB6ACB03}" xr6:coauthVersionLast="47" xr6:coauthVersionMax="47" xr10:uidLastSave="{00000000-0000-0000-0000-000000000000}"/>
  <bookViews>
    <workbookView xWindow="-120" yWindow="-120" windowWidth="20730" windowHeight="11160" activeTab="1" xr2:uid="{BAF274EF-EFCE-4B25-871C-57A2AFFFB7AC}"/>
  </bookViews>
  <sheets>
    <sheet name="Recebimento" sheetId="1" r:id="rId1"/>
    <sheet name="Consumo" sheetId="2" r:id="rId2"/>
    <sheet name="Projetado" sheetId="4" state="hidden" r:id="rId3"/>
    <sheet name="validUser" sheetId="5" state="hidden" r:id="rId4"/>
  </sheets>
  <definedNames>
    <definedName name="SegmentaçãodeDados_Bloco">#N/A</definedName>
    <definedName name="SegmentaçãodeDados_Coluna">#N/A</definedName>
    <definedName name="SegmentaçãodeDados_Data">#N/A</definedName>
    <definedName name="SegmentaçãodeDados_Insumo">#N/A</definedName>
    <definedName name="SegmentaçãodeDados_Insumo1">#N/A</definedName>
    <definedName name="SegmentaçãodeDados_Medição">#N/A</definedName>
    <definedName name="SegmentaçãodeDados_Pavimento">#N/A</definedName>
    <definedName name="SegmentaçãodeDados_Pedido">#N/A</definedName>
    <definedName name="SegmentaçãodeDados_Serviço">#N/A</definedName>
    <definedName name="SegmentaçãodeDados_Unidade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5" i="1" l="1"/>
  <c r="L215" i="1" s="1"/>
  <c r="N155" i="2"/>
  <c r="N158" i="2"/>
  <c r="N5" i="2"/>
  <c r="N27" i="2"/>
  <c r="N29" i="2"/>
  <c r="N32" i="2"/>
  <c r="N36" i="2"/>
  <c r="N84" i="2"/>
  <c r="N100" i="2"/>
  <c r="N173" i="2"/>
  <c r="N182" i="2"/>
  <c r="N206" i="2"/>
  <c r="N221" i="2"/>
  <c r="N222" i="2"/>
  <c r="N223" i="2"/>
  <c r="N224" i="2"/>
  <c r="N226" i="2"/>
  <c r="N227" i="2"/>
  <c r="N233" i="2"/>
  <c r="N242" i="2"/>
  <c r="N243" i="2"/>
  <c r="N246" i="2"/>
  <c r="N248" i="2"/>
  <c r="N254" i="2"/>
  <c r="N255" i="2"/>
  <c r="N256" i="2"/>
  <c r="N257" i="2"/>
  <c r="N259" i="2"/>
  <c r="N260" i="2"/>
  <c r="N266" i="2"/>
  <c r="N271" i="2"/>
  <c r="N272" i="2"/>
  <c r="N273" i="2"/>
  <c r="N297" i="2"/>
  <c r="N307" i="2"/>
  <c r="N314" i="2"/>
  <c r="N334" i="2"/>
  <c r="N355" i="2"/>
  <c r="N356" i="2"/>
  <c r="N368" i="2"/>
  <c r="N65" i="2"/>
  <c r="N163" i="2"/>
  <c r="N168" i="2"/>
  <c r="N169" i="2"/>
  <c r="N170" i="2"/>
  <c r="N171" i="2"/>
  <c r="N179" i="2"/>
  <c r="N180" i="2"/>
  <c r="N203" i="2"/>
  <c r="N204" i="2"/>
  <c r="N205" i="2"/>
  <c r="N217" i="2"/>
  <c r="N219" i="2"/>
  <c r="N229" i="2"/>
  <c r="N234" i="2"/>
  <c r="N236" i="2"/>
  <c r="N238" i="2"/>
  <c r="N247" i="2"/>
  <c r="N253" i="2"/>
  <c r="N265" i="2"/>
  <c r="N270" i="2"/>
  <c r="N283" i="2"/>
  <c r="N289" i="2"/>
  <c r="N291" i="2"/>
  <c r="N292" i="2"/>
  <c r="N293" i="2"/>
  <c r="N296" i="2"/>
  <c r="N298" i="2"/>
  <c r="N304" i="2"/>
  <c r="N305" i="2"/>
  <c r="N306" i="2"/>
  <c r="N308" i="2"/>
  <c r="N315" i="2"/>
  <c r="N324" i="2"/>
  <c r="N325" i="2"/>
  <c r="N345" i="2"/>
  <c r="N346" i="2"/>
  <c r="N347" i="2"/>
  <c r="N348" i="2"/>
  <c r="N373" i="2"/>
  <c r="N382" i="2"/>
  <c r="N383" i="2"/>
  <c r="N389" i="2"/>
  <c r="N391" i="2"/>
  <c r="N392" i="2"/>
  <c r="N47" i="2"/>
  <c r="N53" i="2"/>
  <c r="N56" i="2"/>
  <c r="N60" i="2"/>
  <c r="N67" i="2"/>
  <c r="N71" i="2"/>
  <c r="N90" i="2"/>
  <c r="N96" i="2"/>
  <c r="N106" i="2"/>
  <c r="N110" i="2"/>
  <c r="N113" i="2"/>
  <c r="N116" i="2"/>
  <c r="N123" i="2"/>
  <c r="N130" i="2"/>
  <c r="N147" i="2"/>
  <c r="N154" i="2"/>
  <c r="N284" i="2"/>
  <c r="N286" i="2"/>
  <c r="N21" i="2"/>
  <c r="N44" i="2"/>
  <c r="N177" i="2"/>
  <c r="N198" i="2"/>
  <c r="N294" i="2"/>
  <c r="N295" i="2"/>
  <c r="N323" i="2"/>
  <c r="N336" i="2"/>
  <c r="N337" i="2"/>
  <c r="N338" i="2"/>
  <c r="N339" i="2"/>
  <c r="N340" i="2"/>
  <c r="N341" i="2"/>
  <c r="N386" i="2"/>
  <c r="N387" i="2"/>
  <c r="N41" i="2"/>
  <c r="N42" i="2"/>
  <c r="N263" i="2"/>
  <c r="N25" i="2"/>
  <c r="N30" i="2"/>
  <c r="N33" i="2"/>
  <c r="N37" i="2"/>
  <c r="N39" i="2"/>
  <c r="N46" i="2"/>
  <c r="N49" i="2"/>
  <c r="N54" i="2"/>
  <c r="N55" i="2"/>
  <c r="N384" i="2"/>
  <c r="N91" i="2"/>
  <c r="N95" i="2"/>
  <c r="N97" i="2"/>
  <c r="N117" i="2"/>
  <c r="N122" i="2"/>
  <c r="N124" i="2"/>
  <c r="N135" i="2"/>
  <c r="N146" i="2"/>
  <c r="N151" i="2"/>
  <c r="N184" i="2"/>
  <c r="N190" i="2"/>
  <c r="N216" i="2"/>
  <c r="N237" i="2"/>
  <c r="N281" i="2"/>
  <c r="N282" i="2"/>
  <c r="N288" i="2"/>
  <c r="N290" i="2"/>
  <c r="N370" i="2"/>
  <c r="N10" i="2"/>
  <c r="N354" i="2"/>
  <c r="N89" i="2"/>
  <c r="N136" i="2"/>
  <c r="N140" i="2"/>
  <c r="N145" i="2"/>
  <c r="N178" i="2"/>
  <c r="N191" i="2"/>
  <c r="N194" i="2"/>
  <c r="N241" i="2"/>
  <c r="N244" i="2"/>
  <c r="N245" i="2"/>
  <c r="N275" i="2"/>
  <c r="N278" i="2"/>
  <c r="N279" i="2"/>
  <c r="N287" i="2"/>
  <c r="N310" i="2"/>
  <c r="N311" i="2"/>
  <c r="N320" i="2"/>
  <c r="N321" i="2"/>
  <c r="N322" i="2"/>
  <c r="N330" i="2"/>
  <c r="N343" i="2"/>
  <c r="N349" i="2"/>
  <c r="N360" i="2"/>
  <c r="N388" i="2"/>
  <c r="N390" i="2"/>
  <c r="N3" i="2"/>
  <c r="N4" i="2"/>
  <c r="N6" i="2"/>
  <c r="N7" i="2"/>
  <c r="N8" i="2"/>
  <c r="N9" i="2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6" i="2"/>
  <c r="N28" i="2"/>
  <c r="N31" i="2"/>
  <c r="N34" i="2"/>
  <c r="N35" i="2"/>
  <c r="N38" i="2"/>
  <c r="N40" i="2"/>
  <c r="N43" i="2"/>
  <c r="N45" i="2"/>
  <c r="N48" i="2"/>
  <c r="N50" i="2"/>
  <c r="N51" i="2"/>
  <c r="N52" i="2"/>
  <c r="N57" i="2"/>
  <c r="N58" i="2"/>
  <c r="N59" i="2"/>
  <c r="N61" i="2"/>
  <c r="N62" i="2"/>
  <c r="N63" i="2"/>
  <c r="N64" i="2"/>
  <c r="N66" i="2"/>
  <c r="N68" i="2"/>
  <c r="N69" i="2"/>
  <c r="N70" i="2"/>
  <c r="N72" i="2"/>
  <c r="N73" i="2"/>
  <c r="N74" i="2"/>
  <c r="N75" i="2"/>
  <c r="N76" i="2"/>
  <c r="N77" i="2"/>
  <c r="N78" i="2"/>
  <c r="N79" i="2"/>
  <c r="N80" i="2"/>
  <c r="N81" i="2"/>
  <c r="N82" i="2"/>
  <c r="N83" i="2"/>
  <c r="N85" i="2"/>
  <c r="N86" i="2"/>
  <c r="N87" i="2"/>
  <c r="N88" i="2"/>
  <c r="N92" i="2"/>
  <c r="N93" i="2"/>
  <c r="N94" i="2"/>
  <c r="N98" i="2"/>
  <c r="N99" i="2"/>
  <c r="N101" i="2"/>
  <c r="N102" i="2"/>
  <c r="N103" i="2"/>
  <c r="N104" i="2"/>
  <c r="N105" i="2"/>
  <c r="N107" i="2"/>
  <c r="N108" i="2"/>
  <c r="N109" i="2"/>
  <c r="N111" i="2"/>
  <c r="N112" i="2"/>
  <c r="N114" i="2"/>
  <c r="N115" i="2"/>
  <c r="N118" i="2"/>
  <c r="N119" i="2"/>
  <c r="N120" i="2"/>
  <c r="N121" i="2"/>
  <c r="N125" i="2"/>
  <c r="N126" i="2"/>
  <c r="N127" i="2"/>
  <c r="N128" i="2"/>
  <c r="N129" i="2"/>
  <c r="N131" i="2"/>
  <c r="N132" i="2"/>
  <c r="N133" i="2"/>
  <c r="N134" i="2"/>
  <c r="N137" i="2"/>
  <c r="N138" i="2"/>
  <c r="N139" i="2"/>
  <c r="N141" i="2"/>
  <c r="N142" i="2"/>
  <c r="N143" i="2"/>
  <c r="N144" i="2"/>
  <c r="N148" i="2"/>
  <c r="N149" i="2"/>
  <c r="N150" i="2"/>
  <c r="N152" i="2"/>
  <c r="N153" i="2"/>
  <c r="N156" i="2"/>
  <c r="N157" i="2"/>
  <c r="N159" i="2"/>
  <c r="N160" i="2"/>
  <c r="N161" i="2"/>
  <c r="N162" i="2"/>
  <c r="N164" i="2"/>
  <c r="N165" i="2"/>
  <c r="N166" i="2"/>
  <c r="N167" i="2"/>
  <c r="N172" i="2"/>
  <c r="N174" i="2"/>
  <c r="N175" i="2"/>
  <c r="N176" i="2"/>
  <c r="N181" i="2"/>
  <c r="N183" i="2"/>
  <c r="N185" i="2"/>
  <c r="N186" i="2"/>
  <c r="N187" i="2"/>
  <c r="N188" i="2"/>
  <c r="N189" i="2"/>
  <c r="N192" i="2"/>
  <c r="N193" i="2"/>
  <c r="N195" i="2"/>
  <c r="N196" i="2"/>
  <c r="N197" i="2"/>
  <c r="N199" i="2"/>
  <c r="N200" i="2"/>
  <c r="N201" i="2"/>
  <c r="N202" i="2"/>
  <c r="N207" i="2"/>
  <c r="N208" i="2"/>
  <c r="N209" i="2"/>
  <c r="N210" i="2"/>
  <c r="N211" i="2"/>
  <c r="N212" i="2"/>
  <c r="N213" i="2"/>
  <c r="N214" i="2"/>
  <c r="N215" i="2"/>
  <c r="N218" i="2"/>
  <c r="N220" i="2"/>
  <c r="N225" i="2"/>
  <c r="N228" i="2"/>
  <c r="N230" i="2"/>
  <c r="N231" i="2"/>
  <c r="N232" i="2"/>
  <c r="N235" i="2"/>
  <c r="N239" i="2"/>
  <c r="N240" i="2"/>
  <c r="N249" i="2"/>
  <c r="N250" i="2"/>
  <c r="N251" i="2"/>
  <c r="N252" i="2"/>
  <c r="N258" i="2"/>
  <c r="N261" i="2"/>
  <c r="N262" i="2"/>
  <c r="N264" i="2"/>
  <c r="N267" i="2"/>
  <c r="N268" i="2"/>
  <c r="N269" i="2"/>
  <c r="N274" i="2"/>
  <c r="N276" i="2"/>
  <c r="N277" i="2"/>
  <c r="N280" i="2"/>
  <c r="N285" i="2"/>
  <c r="N299" i="2"/>
  <c r="N300" i="2"/>
  <c r="N301" i="2"/>
  <c r="N302" i="2"/>
  <c r="N303" i="2"/>
  <c r="N309" i="2"/>
  <c r="N312" i="2"/>
  <c r="N313" i="2"/>
  <c r="N316" i="2"/>
  <c r="N317" i="2"/>
  <c r="N318" i="2"/>
  <c r="N319" i="2"/>
  <c r="N326" i="2"/>
  <c r="N327" i="2"/>
  <c r="N328" i="2"/>
  <c r="N329" i="2"/>
  <c r="N331" i="2"/>
  <c r="N332" i="2"/>
  <c r="N333" i="2"/>
  <c r="N335" i="2"/>
  <c r="N342" i="2"/>
  <c r="N344" i="2"/>
  <c r="N350" i="2"/>
  <c r="N351" i="2"/>
  <c r="N352" i="2"/>
  <c r="N353" i="2"/>
  <c r="N357" i="2"/>
  <c r="N358" i="2"/>
  <c r="N359" i="2"/>
  <c r="N361" i="2"/>
  <c r="N362" i="2"/>
  <c r="N363" i="2"/>
  <c r="N364" i="2"/>
  <c r="N365" i="2"/>
  <c r="N366" i="2"/>
  <c r="N367" i="2"/>
  <c r="N369" i="2"/>
  <c r="N371" i="2"/>
  <c r="N372" i="2"/>
  <c r="N374" i="2"/>
  <c r="N375" i="2"/>
  <c r="N376" i="2"/>
  <c r="N377" i="2"/>
  <c r="N378" i="2"/>
  <c r="N379" i="2"/>
  <c r="N380" i="2"/>
  <c r="N381" i="2"/>
  <c r="N385" i="2"/>
  <c r="L69" i="2"/>
  <c r="L70" i="2"/>
  <c r="L215" i="2"/>
  <c r="C2" i="4" l="1"/>
  <c r="E2" i="4" s="1"/>
  <c r="C3" i="4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A214" i="1"/>
  <c r="L214" i="1" s="1"/>
  <c r="A213" i="1"/>
  <c r="L213" i="1" s="1"/>
  <c r="A212" i="1"/>
  <c r="L212" i="1" s="1"/>
  <c r="A211" i="1"/>
  <c r="L211" i="1" s="1"/>
  <c r="A210" i="1"/>
  <c r="L210" i="1" s="1"/>
  <c r="A209" i="1"/>
  <c r="A208" i="1"/>
  <c r="L208" i="1" s="1"/>
  <c r="A207" i="1"/>
  <c r="L207" i="1" s="1"/>
  <c r="A206" i="1"/>
  <c r="A205" i="1"/>
  <c r="L205" i="1" s="1"/>
  <c r="A204" i="1"/>
  <c r="L204" i="1" s="1"/>
  <c r="A203" i="1"/>
  <c r="L203" i="1" s="1"/>
  <c r="A202" i="1"/>
  <c r="L202" i="1" s="1"/>
  <c r="A201" i="1"/>
  <c r="A200" i="1"/>
  <c r="A199" i="1"/>
  <c r="A198" i="1"/>
  <c r="A197" i="1"/>
  <c r="L197" i="1" s="1"/>
  <c r="A196" i="1"/>
  <c r="L196" i="1" s="1"/>
  <c r="A195" i="1"/>
  <c r="L195" i="1" s="1"/>
  <c r="A194" i="1"/>
  <c r="L194" i="1" s="1"/>
  <c r="A193" i="1"/>
  <c r="L193" i="1" s="1"/>
  <c r="A192" i="1"/>
  <c r="L192" i="1" s="1"/>
  <c r="A191" i="1"/>
  <c r="L191" i="1" s="1"/>
  <c r="A190" i="1"/>
  <c r="A189" i="1"/>
  <c r="L189" i="1" s="1"/>
  <c r="A188" i="1"/>
  <c r="L188" i="1" s="1"/>
  <c r="A187" i="1"/>
  <c r="L187" i="1" s="1"/>
  <c r="A186" i="1"/>
  <c r="L186" i="1" s="1"/>
  <c r="A185" i="1"/>
  <c r="L185" i="1" s="1"/>
  <c r="A184" i="1"/>
  <c r="L184" i="1" s="1"/>
  <c r="A183" i="1"/>
  <c r="L183" i="1" s="1"/>
  <c r="A182" i="1"/>
  <c r="A181" i="1"/>
  <c r="L181" i="1" s="1"/>
  <c r="A180" i="1"/>
  <c r="L180" i="1" s="1"/>
  <c r="A179" i="1"/>
  <c r="L179" i="1" s="1"/>
  <c r="A178" i="1"/>
  <c r="L178" i="1" s="1"/>
  <c r="A177" i="1"/>
  <c r="L177" i="1" s="1"/>
  <c r="A176" i="1"/>
  <c r="L176" i="1" s="1"/>
  <c r="A175" i="1"/>
  <c r="L175" i="1" s="1"/>
  <c r="A174" i="1"/>
  <c r="L174" i="1" s="1"/>
  <c r="A173" i="1"/>
  <c r="L173" i="1" s="1"/>
  <c r="A172" i="1"/>
  <c r="L172" i="1" s="1"/>
  <c r="A171" i="1"/>
  <c r="L171" i="1" s="1"/>
  <c r="A170" i="1"/>
  <c r="L170" i="1" s="1"/>
  <c r="A169" i="1"/>
  <c r="L169" i="1" s="1"/>
  <c r="A168" i="1"/>
  <c r="L168" i="1" s="1"/>
  <c r="A167" i="1"/>
  <c r="L167" i="1" s="1"/>
  <c r="A166" i="1"/>
  <c r="L166" i="1" s="1"/>
  <c r="A165" i="1"/>
  <c r="L165" i="1" s="1"/>
  <c r="A164" i="1"/>
  <c r="L164" i="1" s="1"/>
  <c r="A163" i="1"/>
  <c r="L163" i="1" s="1"/>
  <c r="A162" i="1"/>
  <c r="L162" i="1" s="1"/>
  <c r="A161" i="1"/>
  <c r="L161" i="1" s="1"/>
  <c r="A160" i="1"/>
  <c r="A159" i="1"/>
  <c r="L159" i="1" s="1"/>
  <c r="A158" i="1"/>
  <c r="L158" i="1" s="1"/>
  <c r="A157" i="1"/>
  <c r="L157" i="1" s="1"/>
  <c r="A156" i="1"/>
  <c r="L156" i="1" s="1"/>
  <c r="A155" i="1"/>
  <c r="L155" i="1" s="1"/>
  <c r="A154" i="1"/>
  <c r="L154" i="1" s="1"/>
  <c r="A153" i="1"/>
  <c r="L153" i="1" s="1"/>
  <c r="A152" i="1"/>
  <c r="L152" i="1" s="1"/>
  <c r="A151" i="1"/>
  <c r="L151" i="1" s="1"/>
  <c r="A150" i="1"/>
  <c r="L150" i="1" s="1"/>
  <c r="A149" i="1"/>
  <c r="L149" i="1" s="1"/>
  <c r="A148" i="1"/>
  <c r="L148" i="1" s="1"/>
  <c r="A147" i="1"/>
  <c r="L147" i="1" s="1"/>
  <c r="A146" i="1"/>
  <c r="L146" i="1" s="1"/>
  <c r="A145" i="1"/>
  <c r="L145" i="1" s="1"/>
  <c r="A144" i="1"/>
  <c r="L144" i="1" s="1"/>
  <c r="A143" i="1"/>
  <c r="L143" i="1" s="1"/>
  <c r="A142" i="1"/>
  <c r="L142" i="1" s="1"/>
  <c r="A141" i="1"/>
  <c r="L141" i="1" s="1"/>
  <c r="A140" i="1"/>
  <c r="L140" i="1" s="1"/>
  <c r="A139" i="1"/>
  <c r="L139" i="1" s="1"/>
  <c r="A138" i="1"/>
  <c r="L138" i="1" s="1"/>
  <c r="A137" i="1"/>
  <c r="L137" i="1" s="1"/>
  <c r="A136" i="1"/>
  <c r="L136" i="1" s="1"/>
  <c r="A135" i="1"/>
  <c r="L135" i="1" s="1"/>
  <c r="A134" i="1"/>
  <c r="L134" i="1" s="1"/>
  <c r="A133" i="1"/>
  <c r="L133" i="1" s="1"/>
  <c r="A132" i="1"/>
  <c r="L132" i="1" s="1"/>
  <c r="A131" i="1"/>
  <c r="L131" i="1" s="1"/>
  <c r="A130" i="1"/>
  <c r="L130" i="1" s="1"/>
  <c r="A129" i="1"/>
  <c r="L129" i="1" s="1"/>
  <c r="A128" i="1"/>
  <c r="L128" i="1" s="1"/>
  <c r="A127" i="1"/>
  <c r="L127" i="1" s="1"/>
  <c r="A126" i="1"/>
  <c r="L126" i="1" s="1"/>
  <c r="A125" i="1"/>
  <c r="L125" i="1" s="1"/>
  <c r="A124" i="1"/>
  <c r="L124" i="1" s="1"/>
  <c r="A123" i="1"/>
  <c r="L123" i="1" s="1"/>
  <c r="A122" i="1"/>
  <c r="L122" i="1" s="1"/>
  <c r="A121" i="1"/>
  <c r="L121" i="1" s="1"/>
  <c r="A120" i="1"/>
  <c r="L120" i="1" s="1"/>
  <c r="A119" i="1"/>
  <c r="L119" i="1" s="1"/>
  <c r="A118" i="1"/>
  <c r="L118" i="1" s="1"/>
  <c r="A117" i="1"/>
  <c r="L117" i="1" s="1"/>
  <c r="A116" i="1"/>
  <c r="A115" i="1"/>
  <c r="L115" i="1" s="1"/>
  <c r="A114" i="1"/>
  <c r="L114" i="1" s="1"/>
  <c r="A113" i="1"/>
  <c r="L113" i="1" s="1"/>
  <c r="A112" i="1"/>
  <c r="L112" i="1" s="1"/>
  <c r="A111" i="1"/>
  <c r="L111" i="1" s="1"/>
  <c r="A110" i="1"/>
  <c r="L110" i="1" s="1"/>
  <c r="A109" i="1"/>
  <c r="L109" i="1" s="1"/>
  <c r="A108" i="1"/>
  <c r="L108" i="1" s="1"/>
  <c r="A107" i="1"/>
  <c r="L107" i="1" s="1"/>
  <c r="A106" i="1"/>
  <c r="L106" i="1" s="1"/>
  <c r="A105" i="1"/>
  <c r="L105" i="1" s="1"/>
  <c r="A104" i="1"/>
  <c r="L104" i="1" s="1"/>
  <c r="A103" i="1"/>
  <c r="L103" i="1" s="1"/>
  <c r="A102" i="1"/>
  <c r="L102" i="1" s="1"/>
  <c r="A101" i="1"/>
  <c r="L101" i="1" s="1"/>
  <c r="A100" i="1"/>
  <c r="L100" i="1" s="1"/>
  <c r="A99" i="1"/>
  <c r="L99" i="1" s="1"/>
  <c r="A98" i="1"/>
  <c r="L98" i="1" s="1"/>
  <c r="A97" i="1"/>
  <c r="L97" i="1" s="1"/>
  <c r="A96" i="1"/>
  <c r="L96" i="1" s="1"/>
  <c r="A95" i="1"/>
  <c r="L95" i="1" s="1"/>
  <c r="A94" i="1"/>
  <c r="L94" i="1" s="1"/>
  <c r="A93" i="1"/>
  <c r="L93" i="1" s="1"/>
  <c r="A92" i="1"/>
  <c r="L92" i="1" s="1"/>
  <c r="A91" i="1"/>
  <c r="L91" i="1" s="1"/>
  <c r="A90" i="1"/>
  <c r="L90" i="1" s="1"/>
  <c r="A89" i="1"/>
  <c r="L89" i="1" s="1"/>
  <c r="A88" i="1"/>
  <c r="L88" i="1" s="1"/>
  <c r="A87" i="1"/>
  <c r="L87" i="1" s="1"/>
  <c r="A86" i="1"/>
  <c r="L86" i="1" s="1"/>
  <c r="A85" i="1"/>
  <c r="L85" i="1" s="1"/>
  <c r="A84" i="1"/>
  <c r="L84" i="1" s="1"/>
  <c r="A83" i="1"/>
  <c r="L83" i="1" s="1"/>
  <c r="A82" i="1"/>
  <c r="L82" i="1" s="1"/>
  <c r="A81" i="1"/>
  <c r="L81" i="1" s="1"/>
  <c r="A80" i="1"/>
  <c r="L80" i="1" s="1"/>
  <c r="A79" i="1"/>
  <c r="L79" i="1" s="1"/>
  <c r="A78" i="1"/>
  <c r="A77" i="1"/>
  <c r="L77" i="1" s="1"/>
  <c r="A76" i="1"/>
  <c r="L76" i="1" s="1"/>
  <c r="A75" i="1"/>
  <c r="L75" i="1" s="1"/>
  <c r="A74" i="1"/>
  <c r="L74" i="1" s="1"/>
  <c r="A73" i="1"/>
  <c r="L73" i="1" s="1"/>
  <c r="A72" i="1"/>
  <c r="L72" i="1" s="1"/>
  <c r="A71" i="1"/>
  <c r="L71" i="1" s="1"/>
  <c r="A70" i="1"/>
  <c r="L70" i="1" s="1"/>
  <c r="A69" i="1"/>
  <c r="L69" i="1" s="1"/>
  <c r="A68" i="1"/>
  <c r="L68" i="1" s="1"/>
  <c r="A67" i="1"/>
  <c r="L67" i="1" s="1"/>
  <c r="A66" i="1"/>
  <c r="L66" i="1" s="1"/>
  <c r="A65" i="1"/>
  <c r="L65" i="1" s="1"/>
  <c r="A64" i="1"/>
  <c r="L64" i="1" s="1"/>
  <c r="A63" i="1"/>
  <c r="L63" i="1" s="1"/>
  <c r="A62" i="1"/>
  <c r="L62" i="1" s="1"/>
  <c r="A61" i="1"/>
  <c r="L61" i="1" s="1"/>
  <c r="A60" i="1"/>
  <c r="L60" i="1" s="1"/>
  <c r="A59" i="1"/>
  <c r="L59" i="1" s="1"/>
  <c r="A58" i="1"/>
  <c r="L58" i="1" s="1"/>
  <c r="A57" i="1"/>
  <c r="L57" i="1" s="1"/>
  <c r="A56" i="1"/>
  <c r="L56" i="1" s="1"/>
  <c r="A55" i="1"/>
  <c r="L55" i="1" s="1"/>
  <c r="A54" i="1"/>
  <c r="L54" i="1" s="1"/>
  <c r="A53" i="1"/>
  <c r="L53" i="1" s="1"/>
  <c r="A52" i="1"/>
  <c r="L52" i="1" s="1"/>
  <c r="A51" i="1"/>
  <c r="L51" i="1" s="1"/>
  <c r="A50" i="1"/>
  <c r="L50" i="1" s="1"/>
  <c r="A49" i="1"/>
  <c r="L49" i="1" s="1"/>
  <c r="A48" i="1"/>
  <c r="L48" i="1" s="1"/>
  <c r="A47" i="1"/>
  <c r="L47" i="1" s="1"/>
  <c r="A46" i="1"/>
  <c r="L46" i="1" s="1"/>
  <c r="A45" i="1"/>
  <c r="L45" i="1" s="1"/>
  <c r="A44" i="1"/>
  <c r="L44" i="1" s="1"/>
  <c r="A43" i="1"/>
  <c r="L43" i="1" s="1"/>
  <c r="A42" i="1"/>
  <c r="L42" i="1" s="1"/>
  <c r="A41" i="1"/>
  <c r="L41" i="1" s="1"/>
  <c r="A40" i="1"/>
  <c r="L40" i="1" s="1"/>
  <c r="A39" i="1"/>
  <c r="L39" i="1" s="1"/>
  <c r="A38" i="1"/>
  <c r="L38" i="1" s="1"/>
  <c r="A37" i="1"/>
  <c r="L37" i="1" s="1"/>
  <c r="A36" i="1"/>
  <c r="L36" i="1" s="1"/>
  <c r="A35" i="1"/>
  <c r="L35" i="1" s="1"/>
  <c r="A34" i="1"/>
  <c r="L34" i="1" s="1"/>
  <c r="A33" i="1"/>
  <c r="L33" i="1" s="1"/>
  <c r="A32" i="1"/>
  <c r="L32" i="1" s="1"/>
  <c r="A31" i="1"/>
  <c r="L31" i="1" s="1"/>
  <c r="A30" i="1"/>
  <c r="L30" i="1" s="1"/>
  <c r="A29" i="1"/>
  <c r="L29" i="1" s="1"/>
  <c r="A28" i="1"/>
  <c r="L28" i="1" s="1"/>
  <c r="A27" i="1"/>
  <c r="L27" i="1" s="1"/>
  <c r="A26" i="1"/>
  <c r="L26" i="1" s="1"/>
  <c r="A25" i="1"/>
  <c r="L25" i="1" s="1"/>
  <c r="A24" i="1"/>
  <c r="L24" i="1" s="1"/>
  <c r="A23" i="1"/>
  <c r="L23" i="1" s="1"/>
  <c r="A22" i="1"/>
  <c r="L22" i="1" s="1"/>
  <c r="A21" i="1"/>
  <c r="L21" i="1" s="1"/>
  <c r="A20" i="1"/>
  <c r="L20" i="1" s="1"/>
  <c r="A19" i="1"/>
  <c r="L19" i="1" s="1"/>
  <c r="A18" i="1"/>
  <c r="L18" i="1" s="1"/>
  <c r="A17" i="1"/>
  <c r="L17" i="1" s="1"/>
  <c r="A16" i="1"/>
  <c r="L16" i="1" s="1"/>
  <c r="A15" i="1"/>
  <c r="L15" i="1" s="1"/>
  <c r="A14" i="1"/>
  <c r="L14" i="1" s="1"/>
  <c r="A13" i="1"/>
  <c r="L13" i="1" s="1"/>
  <c r="A12" i="1"/>
  <c r="L12" i="1" s="1"/>
  <c r="A11" i="1"/>
  <c r="L11" i="1" s="1"/>
  <c r="A10" i="1"/>
  <c r="L10" i="1" s="1"/>
  <c r="A9" i="1"/>
  <c r="L9" i="1" s="1"/>
  <c r="A8" i="1"/>
  <c r="A7" i="1"/>
  <c r="A6" i="1"/>
  <c r="L6" i="1" s="1"/>
  <c r="A5" i="1"/>
  <c r="L5" i="1" s="1"/>
  <c r="A4" i="1"/>
  <c r="L4" i="1" s="1"/>
  <c r="A3" i="1"/>
  <c r="M272" i="2" s="1"/>
  <c r="L199" i="1"/>
  <c r="L8" i="1"/>
  <c r="L78" i="1"/>
  <c r="L116" i="1"/>
  <c r="L160" i="1"/>
  <c r="L182" i="1"/>
  <c r="L190" i="1"/>
  <c r="L198" i="1"/>
  <c r="L200" i="1"/>
  <c r="L201" i="1"/>
  <c r="L206" i="1"/>
  <c r="L209" i="1"/>
  <c r="M391" i="2" l="1"/>
  <c r="M387" i="2"/>
  <c r="M383" i="2"/>
  <c r="M379" i="2"/>
  <c r="M375" i="2"/>
  <c r="M371" i="2"/>
  <c r="M367" i="2"/>
  <c r="M363" i="2"/>
  <c r="M359" i="2"/>
  <c r="M355" i="2"/>
  <c r="M351" i="2"/>
  <c r="M347" i="2"/>
  <c r="M343" i="2"/>
  <c r="M336" i="2"/>
  <c r="M328" i="2"/>
  <c r="M320" i="2"/>
  <c r="M312" i="2"/>
  <c r="M304" i="2"/>
  <c r="M296" i="2"/>
  <c r="M288" i="2"/>
  <c r="M280" i="2"/>
  <c r="M5" i="2"/>
  <c r="M9" i="2"/>
  <c r="M13" i="2"/>
  <c r="M17" i="2"/>
  <c r="M21" i="2"/>
  <c r="M25" i="2"/>
  <c r="M29" i="2"/>
  <c r="M33" i="2"/>
  <c r="M37" i="2"/>
  <c r="M41" i="2"/>
  <c r="M45" i="2"/>
  <c r="M49" i="2"/>
  <c r="M53" i="2"/>
  <c r="M57" i="2"/>
  <c r="M61" i="2"/>
  <c r="M65" i="2"/>
  <c r="M69" i="2"/>
  <c r="M73" i="2"/>
  <c r="M77" i="2"/>
  <c r="M81" i="2"/>
  <c r="M85" i="2"/>
  <c r="M89" i="2"/>
  <c r="M93" i="2"/>
  <c r="M97" i="2"/>
  <c r="M101" i="2"/>
  <c r="M105" i="2"/>
  <c r="M109" i="2"/>
  <c r="M113" i="2"/>
  <c r="M117" i="2"/>
  <c r="M121" i="2"/>
  <c r="M125" i="2"/>
  <c r="M129" i="2"/>
  <c r="M133" i="2"/>
  <c r="M137" i="2"/>
  <c r="M141" i="2"/>
  <c r="M145" i="2"/>
  <c r="M149" i="2"/>
  <c r="M153" i="2"/>
  <c r="M157" i="2"/>
  <c r="M161" i="2"/>
  <c r="M165" i="2"/>
  <c r="M169" i="2"/>
  <c r="M173" i="2"/>
  <c r="M177" i="2"/>
  <c r="M181" i="2"/>
  <c r="M185" i="2"/>
  <c r="M189" i="2"/>
  <c r="M193" i="2"/>
  <c r="M197" i="2"/>
  <c r="M201" i="2"/>
  <c r="M205" i="2"/>
  <c r="M209" i="2"/>
  <c r="M213" i="2"/>
  <c r="M217" i="2"/>
  <c r="M221" i="2"/>
  <c r="M225" i="2"/>
  <c r="M229" i="2"/>
  <c r="M233" i="2"/>
  <c r="M237" i="2"/>
  <c r="M241" i="2"/>
  <c r="M245" i="2"/>
  <c r="M249" i="2"/>
  <c r="M253" i="2"/>
  <c r="M257" i="2"/>
  <c r="M261" i="2"/>
  <c r="M265" i="2"/>
  <c r="M269" i="2"/>
  <c r="M273" i="2"/>
  <c r="M277" i="2"/>
  <c r="M281" i="2"/>
  <c r="M285" i="2"/>
  <c r="M289" i="2"/>
  <c r="M293" i="2"/>
  <c r="M297" i="2"/>
  <c r="M301" i="2"/>
  <c r="M305" i="2"/>
  <c r="M309" i="2"/>
  <c r="M313" i="2"/>
  <c r="M317" i="2"/>
  <c r="M321" i="2"/>
  <c r="M325" i="2"/>
  <c r="M329" i="2"/>
  <c r="M333" i="2"/>
  <c r="M337" i="2"/>
  <c r="M341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106" i="2"/>
  <c r="M110" i="2"/>
  <c r="M114" i="2"/>
  <c r="M118" i="2"/>
  <c r="M122" i="2"/>
  <c r="M126" i="2"/>
  <c r="M130" i="2"/>
  <c r="M134" i="2"/>
  <c r="M138" i="2"/>
  <c r="M142" i="2"/>
  <c r="M146" i="2"/>
  <c r="M150" i="2"/>
  <c r="M154" i="2"/>
  <c r="M158" i="2"/>
  <c r="M162" i="2"/>
  <c r="M166" i="2"/>
  <c r="M170" i="2"/>
  <c r="M174" i="2"/>
  <c r="M178" i="2"/>
  <c r="M182" i="2"/>
  <c r="M186" i="2"/>
  <c r="M190" i="2"/>
  <c r="M194" i="2"/>
  <c r="M198" i="2"/>
  <c r="M202" i="2"/>
  <c r="M206" i="2"/>
  <c r="M210" i="2"/>
  <c r="M214" i="2"/>
  <c r="M218" i="2"/>
  <c r="M222" i="2"/>
  <c r="M226" i="2"/>
  <c r="M230" i="2"/>
  <c r="M234" i="2"/>
  <c r="M238" i="2"/>
  <c r="M242" i="2"/>
  <c r="M246" i="2"/>
  <c r="M250" i="2"/>
  <c r="M254" i="2"/>
  <c r="M258" i="2"/>
  <c r="M262" i="2"/>
  <c r="M266" i="2"/>
  <c r="M3" i="2"/>
  <c r="M7" i="2"/>
  <c r="M11" i="2"/>
  <c r="M15" i="2"/>
  <c r="M19" i="2"/>
  <c r="M23" i="2"/>
  <c r="M27" i="2"/>
  <c r="M31" i="2"/>
  <c r="M35" i="2"/>
  <c r="M39" i="2"/>
  <c r="M43" i="2"/>
  <c r="M47" i="2"/>
  <c r="M51" i="2"/>
  <c r="M55" i="2"/>
  <c r="M59" i="2"/>
  <c r="M63" i="2"/>
  <c r="M67" i="2"/>
  <c r="M71" i="2"/>
  <c r="M75" i="2"/>
  <c r="M79" i="2"/>
  <c r="M83" i="2"/>
  <c r="M87" i="2"/>
  <c r="M91" i="2"/>
  <c r="M95" i="2"/>
  <c r="M99" i="2"/>
  <c r="M103" i="2"/>
  <c r="M107" i="2"/>
  <c r="M111" i="2"/>
  <c r="M115" i="2"/>
  <c r="M119" i="2"/>
  <c r="M123" i="2"/>
  <c r="M127" i="2"/>
  <c r="M131" i="2"/>
  <c r="M135" i="2"/>
  <c r="M139" i="2"/>
  <c r="M143" i="2"/>
  <c r="M147" i="2"/>
  <c r="M151" i="2"/>
  <c r="M155" i="2"/>
  <c r="M159" i="2"/>
  <c r="M163" i="2"/>
  <c r="M167" i="2"/>
  <c r="M171" i="2"/>
  <c r="M175" i="2"/>
  <c r="M179" i="2"/>
  <c r="M183" i="2"/>
  <c r="M187" i="2"/>
  <c r="M191" i="2"/>
  <c r="M195" i="2"/>
  <c r="M199" i="2"/>
  <c r="M203" i="2"/>
  <c r="M207" i="2"/>
  <c r="M211" i="2"/>
  <c r="M215" i="2"/>
  <c r="M219" i="2"/>
  <c r="M223" i="2"/>
  <c r="M227" i="2"/>
  <c r="M231" i="2"/>
  <c r="M235" i="2"/>
  <c r="M239" i="2"/>
  <c r="M243" i="2"/>
  <c r="M247" i="2"/>
  <c r="M251" i="2"/>
  <c r="M255" i="2"/>
  <c r="M259" i="2"/>
  <c r="M263" i="2"/>
  <c r="M267" i="2"/>
  <c r="M271" i="2"/>
  <c r="M275" i="2"/>
  <c r="M279" i="2"/>
  <c r="M283" i="2"/>
  <c r="M287" i="2"/>
  <c r="M291" i="2"/>
  <c r="M295" i="2"/>
  <c r="M299" i="2"/>
  <c r="M303" i="2"/>
  <c r="M307" i="2"/>
  <c r="M311" i="2"/>
  <c r="M315" i="2"/>
  <c r="M319" i="2"/>
  <c r="M323" i="2"/>
  <c r="M327" i="2"/>
  <c r="M331" i="2"/>
  <c r="M335" i="2"/>
  <c r="M339" i="2"/>
  <c r="M4" i="2"/>
  <c r="M8" i="2"/>
  <c r="M12" i="2"/>
  <c r="M16" i="2"/>
  <c r="M20" i="2"/>
  <c r="M24" i="2"/>
  <c r="M28" i="2"/>
  <c r="M32" i="2"/>
  <c r="M36" i="2"/>
  <c r="M40" i="2"/>
  <c r="M44" i="2"/>
  <c r="M48" i="2"/>
  <c r="M52" i="2"/>
  <c r="M56" i="2"/>
  <c r="M60" i="2"/>
  <c r="M64" i="2"/>
  <c r="M68" i="2"/>
  <c r="M72" i="2"/>
  <c r="M76" i="2"/>
  <c r="M80" i="2"/>
  <c r="M84" i="2"/>
  <c r="M88" i="2"/>
  <c r="M92" i="2"/>
  <c r="M96" i="2"/>
  <c r="M100" i="2"/>
  <c r="M104" i="2"/>
  <c r="M108" i="2"/>
  <c r="M112" i="2"/>
  <c r="M116" i="2"/>
  <c r="M120" i="2"/>
  <c r="M124" i="2"/>
  <c r="M128" i="2"/>
  <c r="M132" i="2"/>
  <c r="M136" i="2"/>
  <c r="M140" i="2"/>
  <c r="M144" i="2"/>
  <c r="M148" i="2"/>
  <c r="M152" i="2"/>
  <c r="M156" i="2"/>
  <c r="M160" i="2"/>
  <c r="M164" i="2"/>
  <c r="M168" i="2"/>
  <c r="M172" i="2"/>
  <c r="M176" i="2"/>
  <c r="M180" i="2"/>
  <c r="M184" i="2"/>
  <c r="M188" i="2"/>
  <c r="M192" i="2"/>
  <c r="M196" i="2"/>
  <c r="M200" i="2"/>
  <c r="M204" i="2"/>
  <c r="M208" i="2"/>
  <c r="M212" i="2"/>
  <c r="M216" i="2"/>
  <c r="M220" i="2"/>
  <c r="M224" i="2"/>
  <c r="M228" i="2"/>
  <c r="M232" i="2"/>
  <c r="M236" i="2"/>
  <c r="M240" i="2"/>
  <c r="M244" i="2"/>
  <c r="M248" i="2"/>
  <c r="M252" i="2"/>
  <c r="M256" i="2"/>
  <c r="M260" i="2"/>
  <c r="M264" i="2"/>
  <c r="M268" i="2"/>
  <c r="M390" i="2"/>
  <c r="M386" i="2"/>
  <c r="M382" i="2"/>
  <c r="M378" i="2"/>
  <c r="M374" i="2"/>
  <c r="M370" i="2"/>
  <c r="M366" i="2"/>
  <c r="M362" i="2"/>
  <c r="M358" i="2"/>
  <c r="M354" i="2"/>
  <c r="M350" i="2"/>
  <c r="M346" i="2"/>
  <c r="M342" i="2"/>
  <c r="M334" i="2"/>
  <c r="M326" i="2"/>
  <c r="M318" i="2"/>
  <c r="M310" i="2"/>
  <c r="M302" i="2"/>
  <c r="M294" i="2"/>
  <c r="M286" i="2"/>
  <c r="M278" i="2"/>
  <c r="M270" i="2"/>
  <c r="M389" i="2"/>
  <c r="M385" i="2"/>
  <c r="M381" i="2"/>
  <c r="M377" i="2"/>
  <c r="M373" i="2"/>
  <c r="M369" i="2"/>
  <c r="M365" i="2"/>
  <c r="M361" i="2"/>
  <c r="M357" i="2"/>
  <c r="M353" i="2"/>
  <c r="M349" i="2"/>
  <c r="M345" i="2"/>
  <c r="M340" i="2"/>
  <c r="M332" i="2"/>
  <c r="M324" i="2"/>
  <c r="M316" i="2"/>
  <c r="M308" i="2"/>
  <c r="M300" i="2"/>
  <c r="M292" i="2"/>
  <c r="M284" i="2"/>
  <c r="M276" i="2"/>
  <c r="M392" i="2"/>
  <c r="M388" i="2"/>
  <c r="M384" i="2"/>
  <c r="M380" i="2"/>
  <c r="M376" i="2"/>
  <c r="M372" i="2"/>
  <c r="M368" i="2"/>
  <c r="M364" i="2"/>
  <c r="M360" i="2"/>
  <c r="M356" i="2"/>
  <c r="M352" i="2"/>
  <c r="M348" i="2"/>
  <c r="M344" i="2"/>
  <c r="M338" i="2"/>
  <c r="M330" i="2"/>
  <c r="M322" i="2"/>
  <c r="M314" i="2"/>
  <c r="M306" i="2"/>
  <c r="M298" i="2"/>
  <c r="M290" i="2"/>
  <c r="M282" i="2"/>
  <c r="M274" i="2"/>
  <c r="L101" i="2"/>
  <c r="L125" i="2"/>
  <c r="L129" i="2"/>
  <c r="L148" i="2"/>
  <c r="L174" i="2"/>
  <c r="L183" i="2"/>
  <c r="L218" i="2"/>
  <c r="L230" i="2"/>
  <c r="L251" i="2"/>
  <c r="L262" i="2"/>
  <c r="L269" i="2"/>
  <c r="L82" i="2"/>
  <c r="L119" i="2"/>
  <c r="L142" i="2"/>
  <c r="L149" i="2"/>
  <c r="L175" i="2"/>
  <c r="L220" i="2"/>
  <c r="L231" i="2"/>
  <c r="L252" i="2"/>
  <c r="L80" i="2"/>
  <c r="L115" i="2"/>
  <c r="L121" i="2"/>
  <c r="L143" i="2"/>
  <c r="L167" i="2"/>
  <c r="L249" i="2"/>
  <c r="L280" i="2"/>
  <c r="L301" i="2"/>
  <c r="L312" i="2"/>
  <c r="L328" i="2"/>
  <c r="L333" i="2"/>
  <c r="L350" i="2"/>
  <c r="L357" i="2"/>
  <c r="L366" i="2"/>
  <c r="L372" i="2"/>
  <c r="L381" i="2"/>
  <c r="L375" i="2"/>
  <c r="L139" i="2"/>
  <c r="L235" i="2"/>
  <c r="L317" i="2"/>
  <c r="L332" i="2"/>
  <c r="L371" i="2"/>
  <c r="L133" i="2"/>
  <c r="L228" i="2"/>
  <c r="L285" i="2"/>
  <c r="L302" i="2"/>
  <c r="L313" i="2"/>
  <c r="L329" i="2"/>
  <c r="L335" i="2"/>
  <c r="L351" i="2"/>
  <c r="L358" i="2"/>
  <c r="L374" i="2"/>
  <c r="L378" i="2"/>
  <c r="L385" i="2"/>
  <c r="L369" i="2"/>
  <c r="L309" i="2"/>
  <c r="L138" i="2"/>
  <c r="L176" i="2"/>
  <c r="L258" i="2"/>
  <c r="L299" i="2"/>
  <c r="L316" i="2"/>
  <c r="L352" i="2"/>
  <c r="L359" i="2"/>
  <c r="L379" i="2"/>
  <c r="L261" i="2"/>
  <c r="L300" i="2"/>
  <c r="L344" i="2"/>
  <c r="L365" i="2"/>
  <c r="L243" i="2"/>
  <c r="L334" i="2"/>
  <c r="L382" i="2"/>
  <c r="L295" i="2"/>
  <c r="L338" i="2"/>
  <c r="L386" i="2"/>
  <c r="L184" i="2"/>
  <c r="L281" i="2"/>
  <c r="L370" i="2"/>
  <c r="L191" i="2"/>
  <c r="L245" i="2"/>
  <c r="L287" i="2"/>
  <c r="L321" i="2"/>
  <c r="L349" i="2"/>
  <c r="L173" i="2"/>
  <c r="L227" i="2"/>
  <c r="L246" i="2"/>
  <c r="L297" i="2"/>
  <c r="L383" i="2"/>
  <c r="L284" i="2"/>
  <c r="L177" i="2"/>
  <c r="L323" i="2"/>
  <c r="L339" i="2"/>
  <c r="L387" i="2"/>
  <c r="L190" i="2"/>
  <c r="L282" i="2"/>
  <c r="L194" i="2"/>
  <c r="L275" i="2"/>
  <c r="L310" i="2"/>
  <c r="L322" i="2"/>
  <c r="L360" i="2"/>
  <c r="L264" i="2"/>
  <c r="L5" i="2"/>
  <c r="L182" i="2"/>
  <c r="L233" i="2"/>
  <c r="L248" i="2"/>
  <c r="L286" i="2"/>
  <c r="L198" i="2"/>
  <c r="L336" i="2"/>
  <c r="L340" i="2"/>
  <c r="L288" i="2"/>
  <c r="L241" i="2"/>
  <c r="L278" i="2"/>
  <c r="L311" i="2"/>
  <c r="L330" i="2"/>
  <c r="L388" i="2"/>
  <c r="L242" i="2"/>
  <c r="L368" i="2"/>
  <c r="L291" i="2"/>
  <c r="L21" i="2"/>
  <c r="L294" i="2"/>
  <c r="L337" i="2"/>
  <c r="L341" i="2"/>
  <c r="L237" i="2"/>
  <c r="L290" i="2"/>
  <c r="L178" i="2"/>
  <c r="L244" i="2"/>
  <c r="L279" i="2"/>
  <c r="L320" i="2"/>
  <c r="L343" i="2"/>
  <c r="L390" i="2"/>
  <c r="L170" i="2"/>
  <c r="L219" i="2"/>
  <c r="L238" i="2"/>
  <c r="L270" i="2"/>
  <c r="L292" i="2"/>
  <c r="L304" i="2"/>
  <c r="L315" i="2"/>
  <c r="L346" i="2"/>
  <c r="L392" i="2"/>
  <c r="L158" i="2"/>
  <c r="L163" i="2"/>
  <c r="L171" i="2"/>
  <c r="L229" i="2"/>
  <c r="L247" i="2"/>
  <c r="L283" i="2"/>
  <c r="L293" i="2"/>
  <c r="L305" i="2"/>
  <c r="L324" i="2"/>
  <c r="L347" i="2"/>
  <c r="L168" i="2"/>
  <c r="L179" i="2"/>
  <c r="L205" i="2"/>
  <c r="L234" i="2"/>
  <c r="L253" i="2"/>
  <c r="L289" i="2"/>
  <c r="L296" i="2"/>
  <c r="L306" i="2"/>
  <c r="L325" i="2"/>
  <c r="L348" i="2"/>
  <c r="L389" i="2"/>
  <c r="L169" i="2"/>
  <c r="L180" i="2"/>
  <c r="L217" i="2"/>
  <c r="L236" i="2"/>
  <c r="L265" i="2"/>
  <c r="L298" i="2"/>
  <c r="L308" i="2"/>
  <c r="L345" i="2"/>
  <c r="L373" i="2"/>
  <c r="L391" i="2"/>
  <c r="L155" i="2"/>
  <c r="L263" i="2"/>
  <c r="L3" i="2"/>
  <c r="L8" i="2"/>
  <c r="L13" i="2"/>
  <c r="L17" i="2"/>
  <c r="L22" i="2"/>
  <c r="L28" i="2"/>
  <c r="L38" i="2"/>
  <c r="L48" i="2"/>
  <c r="L57" i="2"/>
  <c r="L62" i="2"/>
  <c r="L68" i="2"/>
  <c r="L73" i="2"/>
  <c r="L77" i="2"/>
  <c r="L81" i="2"/>
  <c r="L86" i="2"/>
  <c r="L93" i="2"/>
  <c r="L105" i="2"/>
  <c r="L111" i="2"/>
  <c r="L118" i="2"/>
  <c r="L134" i="2"/>
  <c r="L141" i="2"/>
  <c r="L153" i="2"/>
  <c r="L160" i="2"/>
  <c r="L165" i="2"/>
  <c r="L188" i="2"/>
  <c r="L195" i="2"/>
  <c r="L200" i="2"/>
  <c r="L208" i="2"/>
  <c r="L212" i="2"/>
  <c r="L239" i="2"/>
  <c r="L4" i="2"/>
  <c r="L9" i="2"/>
  <c r="L14" i="2"/>
  <c r="L18" i="2"/>
  <c r="L23" i="2"/>
  <c r="L31" i="2"/>
  <c r="L40" i="2"/>
  <c r="L50" i="2"/>
  <c r="L58" i="2"/>
  <c r="L63" i="2"/>
  <c r="L74" i="2"/>
  <c r="L78" i="2"/>
  <c r="L87" i="2"/>
  <c r="L94" i="2"/>
  <c r="L102" i="2"/>
  <c r="L107" i="2"/>
  <c r="L112" i="2"/>
  <c r="L126" i="2"/>
  <c r="L131" i="2"/>
  <c r="L137" i="2"/>
  <c r="L156" i="2"/>
  <c r="L161" i="2"/>
  <c r="L166" i="2"/>
  <c r="L185" i="2"/>
  <c r="L189" i="2"/>
  <c r="L196" i="2"/>
  <c r="L201" i="2"/>
  <c r="L209" i="2"/>
  <c r="L213" i="2"/>
  <c r="L240" i="2"/>
  <c r="L274" i="2"/>
  <c r="L6" i="2"/>
  <c r="L11" i="2"/>
  <c r="L15" i="2"/>
  <c r="L19" i="2"/>
  <c r="L24" i="2"/>
  <c r="L34" i="2"/>
  <c r="L43" i="2"/>
  <c r="L51" i="2"/>
  <c r="L59" i="2"/>
  <c r="L64" i="2"/>
  <c r="L75" i="2"/>
  <c r="L79" i="2"/>
  <c r="L83" i="2"/>
  <c r="L88" i="2"/>
  <c r="L98" i="2"/>
  <c r="L103" i="2"/>
  <c r="L108" i="2"/>
  <c r="L114" i="2"/>
  <c r="L259" i="2"/>
  <c r="L7" i="2"/>
  <c r="L12" i="2"/>
  <c r="L16" i="2"/>
  <c r="L20" i="2"/>
  <c r="L26" i="2"/>
  <c r="L35" i="2"/>
  <c r="L45" i="2"/>
  <c r="L52" i="2"/>
  <c r="L61" i="2"/>
  <c r="L66" i="2"/>
  <c r="L72" i="2"/>
  <c r="L76" i="2"/>
  <c r="L85" i="2"/>
  <c r="L92" i="2"/>
  <c r="L99" i="2"/>
  <c r="L104" i="2"/>
  <c r="L109" i="2"/>
  <c r="L128" i="2"/>
  <c r="L132" i="2"/>
  <c r="L157" i="2"/>
  <c r="L186" i="2"/>
  <c r="L197" i="2"/>
  <c r="L210" i="2"/>
  <c r="L225" i="2"/>
  <c r="L267" i="2"/>
  <c r="L318" i="2"/>
  <c r="L362" i="2"/>
  <c r="L377" i="2"/>
  <c r="L164" i="2"/>
  <c r="L193" i="2"/>
  <c r="L277" i="2"/>
  <c r="L361" i="2"/>
  <c r="L144" i="2"/>
  <c r="L159" i="2"/>
  <c r="L172" i="2"/>
  <c r="L187" i="2"/>
  <c r="L199" i="2"/>
  <c r="L211" i="2"/>
  <c r="L250" i="2"/>
  <c r="L268" i="2"/>
  <c r="L319" i="2"/>
  <c r="L363" i="2"/>
  <c r="L367" i="2"/>
  <c r="L127" i="2"/>
  <c r="L181" i="2"/>
  <c r="L353" i="2"/>
  <c r="L376" i="2"/>
  <c r="L120" i="2"/>
  <c r="L150" i="2"/>
  <c r="L162" i="2"/>
  <c r="L192" i="2"/>
  <c r="L202" i="2"/>
  <c r="L214" i="2"/>
  <c r="L232" i="2"/>
  <c r="L276" i="2"/>
  <c r="L303" i="2"/>
  <c r="L326" i="2"/>
  <c r="L331" i="2"/>
  <c r="L342" i="2"/>
  <c r="L364" i="2"/>
  <c r="L152" i="2"/>
  <c r="L207" i="2"/>
  <c r="L327" i="2"/>
  <c r="L380" i="2"/>
  <c r="L65" i="2"/>
  <c r="L203" i="2"/>
  <c r="L204" i="2"/>
  <c r="L384" i="2"/>
  <c r="L37" i="2"/>
  <c r="L54" i="2"/>
  <c r="L25" i="2"/>
  <c r="L39" i="2"/>
  <c r="L55" i="2"/>
  <c r="L30" i="2"/>
  <c r="L46" i="2"/>
  <c r="L33" i="2"/>
  <c r="L49" i="2"/>
  <c r="L29" i="2"/>
  <c r="L100" i="2"/>
  <c r="L221" i="2"/>
  <c r="L226" i="2"/>
  <c r="L255" i="2"/>
  <c r="L260" i="2"/>
  <c r="L273" i="2"/>
  <c r="L32" i="2"/>
  <c r="L222" i="2"/>
  <c r="L256" i="2"/>
  <c r="L266" i="2"/>
  <c r="L355" i="2"/>
  <c r="L36" i="2"/>
  <c r="L223" i="2"/>
  <c r="L257" i="2"/>
  <c r="L271" i="2"/>
  <c r="L307" i="2"/>
  <c r="L356" i="2"/>
  <c r="L27" i="2"/>
  <c r="L84" i="2"/>
  <c r="L206" i="2"/>
  <c r="L224" i="2"/>
  <c r="L254" i="2"/>
  <c r="L272" i="2"/>
  <c r="L314" i="2"/>
  <c r="L41" i="2"/>
  <c r="L42" i="2"/>
  <c r="L136" i="2"/>
  <c r="L140" i="2"/>
  <c r="L145" i="2"/>
  <c r="L89" i="2"/>
  <c r="L60" i="2"/>
  <c r="L96" i="2"/>
  <c r="L116" i="2"/>
  <c r="L154" i="2"/>
  <c r="L47" i="2"/>
  <c r="L67" i="2"/>
  <c r="L106" i="2"/>
  <c r="L123" i="2"/>
  <c r="L53" i="2"/>
  <c r="L71" i="2"/>
  <c r="L110" i="2"/>
  <c r="L130" i="2"/>
  <c r="L56" i="2"/>
  <c r="L90" i="2"/>
  <c r="L113" i="2"/>
  <c r="L147" i="2"/>
  <c r="L10" i="2"/>
  <c r="L354" i="2"/>
  <c r="L44" i="2"/>
  <c r="L95" i="2"/>
  <c r="L124" i="2"/>
  <c r="L97" i="2"/>
  <c r="L135" i="2"/>
  <c r="L117" i="2"/>
  <c r="L146" i="2"/>
  <c r="L216" i="2"/>
  <c r="L91" i="2"/>
  <c r="L122" i="2"/>
  <c r="L151" i="2"/>
  <c r="E5" i="2"/>
  <c r="E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85" i="2"/>
  <c r="E289" i="2"/>
  <c r="E293" i="2"/>
  <c r="E297" i="2"/>
  <c r="E301" i="2"/>
  <c r="E305" i="2"/>
  <c r="E309" i="2"/>
  <c r="E313" i="2"/>
  <c r="E317" i="2"/>
  <c r="E321" i="2"/>
  <c r="E325" i="2"/>
  <c r="E329" i="2"/>
  <c r="E333" i="2"/>
  <c r="E337" i="2"/>
  <c r="E6" i="2"/>
  <c r="E10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134" i="2"/>
  <c r="E138" i="2"/>
  <c r="E142" i="2"/>
  <c r="E146" i="2"/>
  <c r="E150" i="2"/>
  <c r="E154" i="2"/>
  <c r="E158" i="2"/>
  <c r="E162" i="2"/>
  <c r="E166" i="2"/>
  <c r="E170" i="2"/>
  <c r="E174" i="2"/>
  <c r="E178" i="2"/>
  <c r="E182" i="2"/>
  <c r="E186" i="2"/>
  <c r="E190" i="2"/>
  <c r="E194" i="2"/>
  <c r="E198" i="2"/>
  <c r="E202" i="2"/>
  <c r="E206" i="2"/>
  <c r="E210" i="2"/>
  <c r="E214" i="2"/>
  <c r="E218" i="2"/>
  <c r="E222" i="2"/>
  <c r="E226" i="2"/>
  <c r="E230" i="2"/>
  <c r="E234" i="2"/>
  <c r="E238" i="2"/>
  <c r="E242" i="2"/>
  <c r="E246" i="2"/>
  <c r="E250" i="2"/>
  <c r="E254" i="2"/>
  <c r="E258" i="2"/>
  <c r="E262" i="2"/>
  <c r="E266" i="2"/>
  <c r="E270" i="2"/>
  <c r="E274" i="2"/>
  <c r="E278" i="2"/>
  <c r="E282" i="2"/>
  <c r="E286" i="2"/>
  <c r="E290" i="2"/>
  <c r="E294" i="2"/>
  <c r="E298" i="2"/>
  <c r="E302" i="2"/>
  <c r="E306" i="2"/>
  <c r="E310" i="2"/>
  <c r="E314" i="2"/>
  <c r="E318" i="2"/>
  <c r="E322" i="2"/>
  <c r="E326" i="2"/>
  <c r="E330" i="2"/>
  <c r="E334" i="2"/>
  <c r="E338" i="2"/>
  <c r="E3" i="2"/>
  <c r="E4" i="2"/>
  <c r="E8" i="2"/>
  <c r="E1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88" i="2"/>
  <c r="E292" i="2"/>
  <c r="E296" i="2"/>
  <c r="E300" i="2"/>
  <c r="E304" i="2"/>
  <c r="E308" i="2"/>
  <c r="E312" i="2"/>
  <c r="E316" i="2"/>
  <c r="E320" i="2"/>
  <c r="E324" i="2"/>
  <c r="E328" i="2"/>
  <c r="E332" i="2"/>
  <c r="E336" i="2"/>
  <c r="E340" i="2"/>
  <c r="E7" i="2"/>
  <c r="E23" i="2"/>
  <c r="E39" i="2"/>
  <c r="E55" i="2"/>
  <c r="E71" i="2"/>
  <c r="E87" i="2"/>
  <c r="E103" i="2"/>
  <c r="E119" i="2"/>
  <c r="E135" i="2"/>
  <c r="E151" i="2"/>
  <c r="E167" i="2"/>
  <c r="E183" i="2"/>
  <c r="E199" i="2"/>
  <c r="E215" i="2"/>
  <c r="E231" i="2"/>
  <c r="E11" i="2"/>
  <c r="E27" i="2"/>
  <c r="E43" i="2"/>
  <c r="E59" i="2"/>
  <c r="E75" i="2"/>
  <c r="E91" i="2"/>
  <c r="E107" i="2"/>
  <c r="E123" i="2"/>
  <c r="E139" i="2"/>
  <c r="E155" i="2"/>
  <c r="E171" i="2"/>
  <c r="E187" i="2"/>
  <c r="E203" i="2"/>
  <c r="E219" i="2"/>
  <c r="E235" i="2"/>
  <c r="E251" i="2"/>
  <c r="E267" i="2"/>
  <c r="E283" i="2"/>
  <c r="E299" i="2"/>
  <c r="E315" i="2"/>
  <c r="E331" i="2"/>
  <c r="E342" i="2"/>
  <c r="E346" i="2"/>
  <c r="E350" i="2"/>
  <c r="E354" i="2"/>
  <c r="E358" i="2"/>
  <c r="E362" i="2"/>
  <c r="E366" i="2"/>
  <c r="E370" i="2"/>
  <c r="E374" i="2"/>
  <c r="E378" i="2"/>
  <c r="E382" i="2"/>
  <c r="E386" i="2"/>
  <c r="E390" i="2"/>
  <c r="D4" i="2"/>
  <c r="D8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E15" i="2"/>
  <c r="E31" i="2"/>
  <c r="E47" i="2"/>
  <c r="E63" i="2"/>
  <c r="E79" i="2"/>
  <c r="E95" i="2"/>
  <c r="E111" i="2"/>
  <c r="E127" i="2"/>
  <c r="E143" i="2"/>
  <c r="E159" i="2"/>
  <c r="E175" i="2"/>
  <c r="E191" i="2"/>
  <c r="E207" i="2"/>
  <c r="E223" i="2"/>
  <c r="E239" i="2"/>
  <c r="E255" i="2"/>
  <c r="E271" i="2"/>
  <c r="E287" i="2"/>
  <c r="E303" i="2"/>
  <c r="E319" i="2"/>
  <c r="E335" i="2"/>
  <c r="E343" i="2"/>
  <c r="E347" i="2"/>
  <c r="E351" i="2"/>
  <c r="E355" i="2"/>
  <c r="E359" i="2"/>
  <c r="E363" i="2"/>
  <c r="E367" i="2"/>
  <c r="E371" i="2"/>
  <c r="E375" i="2"/>
  <c r="E379" i="2"/>
  <c r="E383" i="2"/>
  <c r="E387" i="2"/>
  <c r="E391" i="2"/>
  <c r="D5" i="2"/>
  <c r="D9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153" i="2"/>
  <c r="D157" i="2"/>
  <c r="D161" i="2"/>
  <c r="D165" i="2"/>
  <c r="D169" i="2"/>
  <c r="D173" i="2"/>
  <c r="D177" i="2"/>
  <c r="D181" i="2"/>
  <c r="D185" i="2"/>
  <c r="D189" i="2"/>
  <c r="D193" i="2"/>
  <c r="D197" i="2"/>
  <c r="D201" i="2"/>
  <c r="D205" i="2"/>
  <c r="E67" i="2"/>
  <c r="E131" i="2"/>
  <c r="E195" i="2"/>
  <c r="E247" i="2"/>
  <c r="E279" i="2"/>
  <c r="E311" i="2"/>
  <c r="E341" i="2"/>
  <c r="E349" i="2"/>
  <c r="E357" i="2"/>
  <c r="E365" i="2"/>
  <c r="E373" i="2"/>
  <c r="E381" i="2"/>
  <c r="E389" i="2"/>
  <c r="D7" i="2"/>
  <c r="D15" i="2"/>
  <c r="D23" i="2"/>
  <c r="D31" i="2"/>
  <c r="D39" i="2"/>
  <c r="D47" i="2"/>
  <c r="D55" i="2"/>
  <c r="D63" i="2"/>
  <c r="D71" i="2"/>
  <c r="D79" i="2"/>
  <c r="D87" i="2"/>
  <c r="D95" i="2"/>
  <c r="D103" i="2"/>
  <c r="D111" i="2"/>
  <c r="D119" i="2"/>
  <c r="D127" i="2"/>
  <c r="D135" i="2"/>
  <c r="D143" i="2"/>
  <c r="D151" i="2"/>
  <c r="D159" i="2"/>
  <c r="D167" i="2"/>
  <c r="D175" i="2"/>
  <c r="D183" i="2"/>
  <c r="D191" i="2"/>
  <c r="D199" i="2"/>
  <c r="D207" i="2"/>
  <c r="D211" i="2"/>
  <c r="D215" i="2"/>
  <c r="D219" i="2"/>
  <c r="D223" i="2"/>
  <c r="D227" i="2"/>
  <c r="D231" i="2"/>
  <c r="D235" i="2"/>
  <c r="D239" i="2"/>
  <c r="D243" i="2"/>
  <c r="D247" i="2"/>
  <c r="D251" i="2"/>
  <c r="D255" i="2"/>
  <c r="D259" i="2"/>
  <c r="D263" i="2"/>
  <c r="D267" i="2"/>
  <c r="D271" i="2"/>
  <c r="D275" i="2"/>
  <c r="D279" i="2"/>
  <c r="D283" i="2"/>
  <c r="D287" i="2"/>
  <c r="D291" i="2"/>
  <c r="D295" i="2"/>
  <c r="D299" i="2"/>
  <c r="D303" i="2"/>
  <c r="D307" i="2"/>
  <c r="D311" i="2"/>
  <c r="D315" i="2"/>
  <c r="D319" i="2"/>
  <c r="D323" i="2"/>
  <c r="D327" i="2"/>
  <c r="D331" i="2"/>
  <c r="D335" i="2"/>
  <c r="D339" i="2"/>
  <c r="D343" i="2"/>
  <c r="D347" i="2"/>
  <c r="D351" i="2"/>
  <c r="D355" i="2"/>
  <c r="D359" i="2"/>
  <c r="D363" i="2"/>
  <c r="D367" i="2"/>
  <c r="D371" i="2"/>
  <c r="D375" i="2"/>
  <c r="D379" i="2"/>
  <c r="D383" i="2"/>
  <c r="D387" i="2"/>
  <c r="D391" i="2"/>
  <c r="E19" i="2"/>
  <c r="E83" i="2"/>
  <c r="E147" i="2"/>
  <c r="E211" i="2"/>
  <c r="E259" i="2"/>
  <c r="E291" i="2"/>
  <c r="E323" i="2"/>
  <c r="E344" i="2"/>
  <c r="E352" i="2"/>
  <c r="E360" i="2"/>
  <c r="E368" i="2"/>
  <c r="E376" i="2"/>
  <c r="E384" i="2"/>
  <c r="E392" i="2"/>
  <c r="D10" i="2"/>
  <c r="D18" i="2"/>
  <c r="D26" i="2"/>
  <c r="D34" i="2"/>
  <c r="D42" i="2"/>
  <c r="D50" i="2"/>
  <c r="D58" i="2"/>
  <c r="D66" i="2"/>
  <c r="D74" i="2"/>
  <c r="D82" i="2"/>
  <c r="D90" i="2"/>
  <c r="D98" i="2"/>
  <c r="D106" i="2"/>
  <c r="D114" i="2"/>
  <c r="D122" i="2"/>
  <c r="D130" i="2"/>
  <c r="D138" i="2"/>
  <c r="D146" i="2"/>
  <c r="D154" i="2"/>
  <c r="D162" i="2"/>
  <c r="D170" i="2"/>
  <c r="D178" i="2"/>
  <c r="D186" i="2"/>
  <c r="D194" i="2"/>
  <c r="D202" i="2"/>
  <c r="D208" i="2"/>
  <c r="D212" i="2"/>
  <c r="D216" i="2"/>
  <c r="D220" i="2"/>
  <c r="D224" i="2"/>
  <c r="D228" i="2"/>
  <c r="D232" i="2"/>
  <c r="D236" i="2"/>
  <c r="D240" i="2"/>
  <c r="D244" i="2"/>
  <c r="D248" i="2"/>
  <c r="D252" i="2"/>
  <c r="D256" i="2"/>
  <c r="D260" i="2"/>
  <c r="D264" i="2"/>
  <c r="D268" i="2"/>
  <c r="D272" i="2"/>
  <c r="D276" i="2"/>
  <c r="D280" i="2"/>
  <c r="D284" i="2"/>
  <c r="D288" i="2"/>
  <c r="D292" i="2"/>
  <c r="D296" i="2"/>
  <c r="D300" i="2"/>
  <c r="D304" i="2"/>
  <c r="D308" i="2"/>
  <c r="D312" i="2"/>
  <c r="D316" i="2"/>
  <c r="D320" i="2"/>
  <c r="D324" i="2"/>
  <c r="D328" i="2"/>
  <c r="D332" i="2"/>
  <c r="D336" i="2"/>
  <c r="D340" i="2"/>
  <c r="D344" i="2"/>
  <c r="D348" i="2"/>
  <c r="D352" i="2"/>
  <c r="D356" i="2"/>
  <c r="D360" i="2"/>
  <c r="D364" i="2"/>
  <c r="D368" i="2"/>
  <c r="D372" i="2"/>
  <c r="D376" i="2"/>
  <c r="D380" i="2"/>
  <c r="D384" i="2"/>
  <c r="D388" i="2"/>
  <c r="E35" i="2"/>
  <c r="E99" i="2"/>
  <c r="E163" i="2"/>
  <c r="E227" i="2"/>
  <c r="E263" i="2"/>
  <c r="E295" i="2"/>
  <c r="E327" i="2"/>
  <c r="E345" i="2"/>
  <c r="E353" i="2"/>
  <c r="E361" i="2"/>
  <c r="E369" i="2"/>
  <c r="E377" i="2"/>
  <c r="E385" i="2"/>
  <c r="D3" i="2"/>
  <c r="D11" i="2"/>
  <c r="D19" i="2"/>
  <c r="D27" i="2"/>
  <c r="D35" i="2"/>
  <c r="D43" i="2"/>
  <c r="D51" i="2"/>
  <c r="D59" i="2"/>
  <c r="D67" i="2"/>
  <c r="D75" i="2"/>
  <c r="D83" i="2"/>
  <c r="D91" i="2"/>
  <c r="D99" i="2"/>
  <c r="D107" i="2"/>
  <c r="D115" i="2"/>
  <c r="D123" i="2"/>
  <c r="D131" i="2"/>
  <c r="D139" i="2"/>
  <c r="D147" i="2"/>
  <c r="D155" i="2"/>
  <c r="D163" i="2"/>
  <c r="D171" i="2"/>
  <c r="D179" i="2"/>
  <c r="D187" i="2"/>
  <c r="D195" i="2"/>
  <c r="D203" i="2"/>
  <c r="D209" i="2"/>
  <c r="D213" i="2"/>
  <c r="D217" i="2"/>
  <c r="D221" i="2"/>
  <c r="D225" i="2"/>
  <c r="D229" i="2"/>
  <c r="D233" i="2"/>
  <c r="D237" i="2"/>
  <c r="D241" i="2"/>
  <c r="D245" i="2"/>
  <c r="D249" i="2"/>
  <c r="D253" i="2"/>
  <c r="D257" i="2"/>
  <c r="D261" i="2"/>
  <c r="D265" i="2"/>
  <c r="D269" i="2"/>
  <c r="D273" i="2"/>
  <c r="D277" i="2"/>
  <c r="D281" i="2"/>
  <c r="D285" i="2"/>
  <c r="D289" i="2"/>
  <c r="D293" i="2"/>
  <c r="D297" i="2"/>
  <c r="D301" i="2"/>
  <c r="D305" i="2"/>
  <c r="D309" i="2"/>
  <c r="D313" i="2"/>
  <c r="D317" i="2"/>
  <c r="D321" i="2"/>
  <c r="D325" i="2"/>
  <c r="D329" i="2"/>
  <c r="D333" i="2"/>
  <c r="D337" i="2"/>
  <c r="D341" i="2"/>
  <c r="D345" i="2"/>
  <c r="D349" i="2"/>
  <c r="D353" i="2"/>
  <c r="D357" i="2"/>
  <c r="D361" i="2"/>
  <c r="D365" i="2"/>
  <c r="D369" i="2"/>
  <c r="D373" i="2"/>
  <c r="D377" i="2"/>
  <c r="D381" i="2"/>
  <c r="D385" i="2"/>
  <c r="D389" i="2"/>
  <c r="E51" i="2"/>
  <c r="E115" i="2"/>
  <c r="E179" i="2"/>
  <c r="E243" i="2"/>
  <c r="E275" i="2"/>
  <c r="E307" i="2"/>
  <c r="E339" i="2"/>
  <c r="E348" i="2"/>
  <c r="E356" i="2"/>
  <c r="E364" i="2"/>
  <c r="E372" i="2"/>
  <c r="E380" i="2"/>
  <c r="E388" i="2"/>
  <c r="D6" i="2"/>
  <c r="D14" i="2"/>
  <c r="D22" i="2"/>
  <c r="D30" i="2"/>
  <c r="D38" i="2"/>
  <c r="D46" i="2"/>
  <c r="D54" i="2"/>
  <c r="D62" i="2"/>
  <c r="D70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0" i="2"/>
  <c r="D214" i="2"/>
  <c r="D218" i="2"/>
  <c r="D222" i="2"/>
  <c r="D226" i="2"/>
  <c r="D230" i="2"/>
  <c r="D234" i="2"/>
  <c r="D238" i="2"/>
  <c r="D242" i="2"/>
  <c r="D246" i="2"/>
  <c r="D250" i="2"/>
  <c r="D254" i="2"/>
  <c r="D258" i="2"/>
  <c r="D262" i="2"/>
  <c r="D266" i="2"/>
  <c r="D270" i="2"/>
  <c r="D274" i="2"/>
  <c r="D278" i="2"/>
  <c r="D282" i="2"/>
  <c r="D286" i="2"/>
  <c r="D290" i="2"/>
  <c r="D294" i="2"/>
  <c r="D298" i="2"/>
  <c r="D302" i="2"/>
  <c r="D306" i="2"/>
  <c r="D310" i="2"/>
  <c r="D314" i="2"/>
  <c r="D318" i="2"/>
  <c r="D322" i="2"/>
  <c r="D326" i="2"/>
  <c r="D330" i="2"/>
  <c r="D334" i="2"/>
  <c r="D338" i="2"/>
  <c r="D342" i="2"/>
  <c r="D346" i="2"/>
  <c r="D350" i="2"/>
  <c r="D354" i="2"/>
  <c r="D358" i="2"/>
  <c r="D362" i="2"/>
  <c r="D366" i="2"/>
  <c r="D370" i="2"/>
  <c r="D374" i="2"/>
  <c r="D378" i="2"/>
  <c r="D382" i="2"/>
  <c r="D386" i="2"/>
  <c r="D390" i="2"/>
  <c r="D392" i="2"/>
  <c r="L7" i="1"/>
  <c r="L3" i="1"/>
</calcChain>
</file>

<file path=xl/sharedStrings.xml><?xml version="1.0" encoding="utf-8"?>
<sst xmlns="http://schemas.openxmlformats.org/spreadsheetml/2006/main" count="2963" uniqueCount="298">
  <si>
    <t>Data</t>
  </si>
  <si>
    <t>Insumo</t>
  </si>
  <si>
    <t>Serviço</t>
  </si>
  <si>
    <t>Pavimento</t>
  </si>
  <si>
    <t>Coluna</t>
  </si>
  <si>
    <t>Unidade</t>
  </si>
  <si>
    <t>Bloco</t>
  </si>
  <si>
    <t>Primeiro</t>
  </si>
  <si>
    <t>Segundo</t>
  </si>
  <si>
    <t>Terceiro</t>
  </si>
  <si>
    <t>Térreo</t>
  </si>
  <si>
    <t>NVN1015</t>
  </si>
  <si>
    <t>OEJ1185</t>
  </si>
  <si>
    <t>OEJ1704</t>
  </si>
  <si>
    <t>OEJ1794</t>
  </si>
  <si>
    <t>OEJ2705</t>
  </si>
  <si>
    <t>OEK4014</t>
  </si>
  <si>
    <t>OEO4687</t>
  </si>
  <si>
    <t>OER4319</t>
  </si>
  <si>
    <t>OES8839</t>
  </si>
  <si>
    <t>OJE2705</t>
  </si>
  <si>
    <t>RBI4B84</t>
  </si>
  <si>
    <t/>
  </si>
  <si>
    <t>ETE</t>
  </si>
  <si>
    <t>Saída da Usina</t>
  </si>
  <si>
    <t>RCBARG00001</t>
  </si>
  <si>
    <t>RCBARG00002</t>
  </si>
  <si>
    <t>RCBARG00003</t>
  </si>
  <si>
    <t>RCBARG00004</t>
  </si>
  <si>
    <t>RCBARG00005</t>
  </si>
  <si>
    <t>RCBARG00006</t>
  </si>
  <si>
    <t>RCBARG00007</t>
  </si>
  <si>
    <t>RCBARG00008</t>
  </si>
  <si>
    <t>RCBARG00009</t>
  </si>
  <si>
    <t>RCBARG00010</t>
  </si>
  <si>
    <t>RCBARG00011</t>
  </si>
  <si>
    <t>RCBARG00012</t>
  </si>
  <si>
    <t>RCBARG00013</t>
  </si>
  <si>
    <t>RCBARG00014</t>
  </si>
  <si>
    <t>RCBARG00015</t>
  </si>
  <si>
    <t>RCBARG00016</t>
  </si>
  <si>
    <t>RCBARG00017</t>
  </si>
  <si>
    <t>RCBARG00018</t>
  </si>
  <si>
    <t>RCBARG00019</t>
  </si>
  <si>
    <t>RCBARG00020</t>
  </si>
  <si>
    <t>RCBARG00021</t>
  </si>
  <si>
    <t>RCBARG00022</t>
  </si>
  <si>
    <t>RCBARG00023</t>
  </si>
  <si>
    <t>RCBARG00024</t>
  </si>
  <si>
    <t>RCBARG00025</t>
  </si>
  <si>
    <t>RCBARG00026</t>
  </si>
  <si>
    <t>RCBARG00027</t>
  </si>
  <si>
    <t>RCBARG00028</t>
  </si>
  <si>
    <t>RCBARG00029</t>
  </si>
  <si>
    <t>RCBARG00030</t>
  </si>
  <si>
    <t>RCBARG00031</t>
  </si>
  <si>
    <t>RCBARG00032</t>
  </si>
  <si>
    <t>RCBARG00033</t>
  </si>
  <si>
    <t>RCBARG00034</t>
  </si>
  <si>
    <t>RCBARG00035</t>
  </si>
  <si>
    <t>RCBARG00036</t>
  </si>
  <si>
    <t>RCBARG00037</t>
  </si>
  <si>
    <t>RCBARG00038</t>
  </si>
  <si>
    <t>RCBARG00039</t>
  </si>
  <si>
    <t>RCBARG00040</t>
  </si>
  <si>
    <t>RCBARG00041</t>
  </si>
  <si>
    <t>RCBARG00042</t>
  </si>
  <si>
    <t>RCBARG00043</t>
  </si>
  <si>
    <t>RCBARG00044</t>
  </si>
  <si>
    <t>RCBARG00045</t>
  </si>
  <si>
    <t>RCBARG00046</t>
  </si>
  <si>
    <t>RCBARG00047</t>
  </si>
  <si>
    <t>RCBARG00048</t>
  </si>
  <si>
    <t>RCBARG00049</t>
  </si>
  <si>
    <t>RCBARG00050</t>
  </si>
  <si>
    <t>RCBARG00051</t>
  </si>
  <si>
    <t>RCBARG00052</t>
  </si>
  <si>
    <t>RCBARG00053</t>
  </si>
  <si>
    <t>RCBARG00054</t>
  </si>
  <si>
    <t>RCBARG00055</t>
  </si>
  <si>
    <t>RCBARG00056</t>
  </si>
  <si>
    <t>RCBARG00057</t>
  </si>
  <si>
    <t>RCBARG00058</t>
  </si>
  <si>
    <t>RCBARG00059</t>
  </si>
  <si>
    <t>RCBARG00060</t>
  </si>
  <si>
    <t>RCBARG00061</t>
  </si>
  <si>
    <t>RCBARG00062</t>
  </si>
  <si>
    <t>RCBARG00063</t>
  </si>
  <si>
    <t>RCBARG00064</t>
  </si>
  <si>
    <t>RCBARG00065</t>
  </si>
  <si>
    <t>RCBARG00066</t>
  </si>
  <si>
    <t>RCBARG00067</t>
  </si>
  <si>
    <t>RCBARG00068</t>
  </si>
  <si>
    <t>RCBARG00069</t>
  </si>
  <si>
    <t>RCBARG00070</t>
  </si>
  <si>
    <t>RCBARG00071</t>
  </si>
  <si>
    <t>RCBARG00072</t>
  </si>
  <si>
    <t>RCBARG00073</t>
  </si>
  <si>
    <t>RCBARG00074</t>
  </si>
  <si>
    <t>RCBARG00075</t>
  </si>
  <si>
    <t>RCBARG00076</t>
  </si>
  <si>
    <t>RCBARG00077</t>
  </si>
  <si>
    <t>RCBARG00078</t>
  </si>
  <si>
    <t>RCBARG00079</t>
  </si>
  <si>
    <t>RCBARG00080</t>
  </si>
  <si>
    <t>RCBARG00081</t>
  </si>
  <si>
    <t>RCBARG00082</t>
  </si>
  <si>
    <t>RCBARG00083</t>
  </si>
  <si>
    <t>RCBARG00084</t>
  </si>
  <si>
    <t>RCBARG00085</t>
  </si>
  <si>
    <t>RCBARG00086</t>
  </si>
  <si>
    <t>RCBARG00087</t>
  </si>
  <si>
    <t>RCBARG00088</t>
  </si>
  <si>
    <t>RCBARG00089</t>
  </si>
  <si>
    <t>RCBARG00090</t>
  </si>
  <si>
    <t>RCBARG00091</t>
  </si>
  <si>
    <t>RCBARG00092</t>
  </si>
  <si>
    <t>RCBARG00093</t>
  </si>
  <si>
    <t>RCBARG00094</t>
  </si>
  <si>
    <t>RCBARG00095</t>
  </si>
  <si>
    <t>RCBARG00096</t>
  </si>
  <si>
    <t>RCBARG00097</t>
  </si>
  <si>
    <t>RCBARG00098</t>
  </si>
  <si>
    <t>RCBARG00099</t>
  </si>
  <si>
    <t>RCBARG00100</t>
  </si>
  <si>
    <t>RCBARG00101</t>
  </si>
  <si>
    <t>RCBARG00102</t>
  </si>
  <si>
    <t>RCBARG00103</t>
  </si>
  <si>
    <t>RCBARG00104</t>
  </si>
  <si>
    <t>RCBARG00105</t>
  </si>
  <si>
    <t>RCBARG00106</t>
  </si>
  <si>
    <t>RCBARG00107</t>
  </si>
  <si>
    <t>RCBARG00108</t>
  </si>
  <si>
    <t>RCBARG00109</t>
  </si>
  <si>
    <t>RCBARG00110</t>
  </si>
  <si>
    <t>RCBARG00111</t>
  </si>
  <si>
    <t>RCBARG00112</t>
  </si>
  <si>
    <t>RCBARG00113</t>
  </si>
  <si>
    <t>RCBARG00114</t>
  </si>
  <si>
    <t>RCBARG00115</t>
  </si>
  <si>
    <t>RCBARG00116</t>
  </si>
  <si>
    <t>RCBARG00117</t>
  </si>
  <si>
    <t>RCBARG00118</t>
  </si>
  <si>
    <t>RCBARG00119</t>
  </si>
  <si>
    <t>RCBARG00120</t>
  </si>
  <si>
    <t>RCBARG00121</t>
  </si>
  <si>
    <t>RCBARG00122</t>
  </si>
  <si>
    <t>RCBARG00123</t>
  </si>
  <si>
    <t>RCBARG00124</t>
  </si>
  <si>
    <t>RCBARG00125</t>
  </si>
  <si>
    <t>RCBARG00126</t>
  </si>
  <si>
    <t>RCBARG00127</t>
  </si>
  <si>
    <t>RCBARG00128</t>
  </si>
  <si>
    <t>RCBARG00129</t>
  </si>
  <si>
    <t>RCBARG00130</t>
  </si>
  <si>
    <t>RCBARG00131</t>
  </si>
  <si>
    <t>RCBARG00132</t>
  </si>
  <si>
    <t>RCBARG00133</t>
  </si>
  <si>
    <t>RCBARG00134</t>
  </si>
  <si>
    <t>RCBARG00135</t>
  </si>
  <si>
    <t>RCBARG00136</t>
  </si>
  <si>
    <t>RCBARG00137</t>
  </si>
  <si>
    <t>RCBARG00138</t>
  </si>
  <si>
    <t>RCBARG00139</t>
  </si>
  <si>
    <t>RCBARG00140</t>
  </si>
  <si>
    <t>RCBARG00141</t>
  </si>
  <si>
    <t>RCBARG00142</t>
  </si>
  <si>
    <t>RCBARG00143</t>
  </si>
  <si>
    <t>RCBARG00144</t>
  </si>
  <si>
    <t>RCBARG00145</t>
  </si>
  <si>
    <t>RCBARG00146</t>
  </si>
  <si>
    <t>RCBARG00147</t>
  </si>
  <si>
    <t>RCBARG00148</t>
  </si>
  <si>
    <t>RCBARG00149</t>
  </si>
  <si>
    <t>RCBARG00150</t>
  </si>
  <si>
    <t>RCBARG00151</t>
  </si>
  <si>
    <t>RCBARG00152</t>
  </si>
  <si>
    <t>RCBARG00153</t>
  </si>
  <si>
    <t>RCBARG00154</t>
  </si>
  <si>
    <t>RCBARG00155</t>
  </si>
  <si>
    <t>RCBARG00156</t>
  </si>
  <si>
    <t>RCBARG00157</t>
  </si>
  <si>
    <t>RCBARG00158</t>
  </si>
  <si>
    <t>RCBARG00159</t>
  </si>
  <si>
    <t>RCBARG00166</t>
  </si>
  <si>
    <t>RCBARG00168</t>
  </si>
  <si>
    <t>RCBARG00169</t>
  </si>
  <si>
    <t>RCBARG00170</t>
  </si>
  <si>
    <t>RCBARG00171</t>
  </si>
  <si>
    <t>RCBARG00172</t>
  </si>
  <si>
    <t>RCBARG00173</t>
  </si>
  <si>
    <t>RCBARG00174</t>
  </si>
  <si>
    <t>RCBARG00175</t>
  </si>
  <si>
    <t>RCBARG00176</t>
  </si>
  <si>
    <t>RCBARG00177</t>
  </si>
  <si>
    <t>RCBARG00178</t>
  </si>
  <si>
    <t>RCBARG00179</t>
  </si>
  <si>
    <t>RCBARG00180</t>
  </si>
  <si>
    <t>RCBARG00182</t>
  </si>
  <si>
    <t>RCBARG00183</t>
  </si>
  <si>
    <t>RCBARG00184</t>
  </si>
  <si>
    <t>RCBARG00185</t>
  </si>
  <si>
    <t>RCBARG00186</t>
  </si>
  <si>
    <t>RCBARG00187</t>
  </si>
  <si>
    <t>RCBARG00188</t>
  </si>
  <si>
    <t>RCBARG00189</t>
  </si>
  <si>
    <t>RCBARG00190</t>
  </si>
  <si>
    <t>RCBARG00191</t>
  </si>
  <si>
    <t>RCBARG00192</t>
  </si>
  <si>
    <t>RCBARG00193</t>
  </si>
  <si>
    <t>RCBARG00194</t>
  </si>
  <si>
    <t>RCBARG00195</t>
  </si>
  <si>
    <t>RCBARG00196</t>
  </si>
  <si>
    <t>RCBARG00197</t>
  </si>
  <si>
    <t>RCBARG00198</t>
  </si>
  <si>
    <t>RCBARG00199</t>
  </si>
  <si>
    <t>RCBARG00200</t>
  </si>
  <si>
    <t>RCBARG00201</t>
  </si>
  <si>
    <t>RCBARG00202</t>
  </si>
  <si>
    <t>RCBARG00203</t>
  </si>
  <si>
    <t>RCBARG00204</t>
  </si>
  <si>
    <t>RCBARG00205</t>
  </si>
  <si>
    <t>RCBARG00206</t>
  </si>
  <si>
    <t>RCBARG00207</t>
  </si>
  <si>
    <t>RCBARG00208</t>
  </si>
  <si>
    <t>RCBARG00209</t>
  </si>
  <si>
    <t>RCBARG00210</t>
  </si>
  <si>
    <t>RCBARG00211</t>
  </si>
  <si>
    <t>RCBARG00212</t>
  </si>
  <si>
    <t>RCBARG00213</t>
  </si>
  <si>
    <t>RCBARG00214</t>
  </si>
  <si>
    <t>RCBARG00215</t>
  </si>
  <si>
    <t>RCBARG00216</t>
  </si>
  <si>
    <t>RCBARG00217</t>
  </si>
  <si>
    <t>RCBARG00218</t>
  </si>
  <si>
    <t>RCBARG00219</t>
  </si>
  <si>
    <t>RCBARG00220</t>
  </si>
  <si>
    <t>Brinquedoteca</t>
  </si>
  <si>
    <t>Cobertura</t>
  </si>
  <si>
    <t>Drenagem Externa</t>
  </si>
  <si>
    <t>Guarita</t>
  </si>
  <si>
    <t>Laje de Entrada</t>
  </si>
  <si>
    <t>Muro Limítrofe</t>
  </si>
  <si>
    <t>Quadra</t>
  </si>
  <si>
    <t>Quintais</t>
  </si>
  <si>
    <t>Radier</t>
  </si>
  <si>
    <t>Reservatório</t>
  </si>
  <si>
    <t>Requadramento de Paredes</t>
  </si>
  <si>
    <t>Regularização da Calha</t>
  </si>
  <si>
    <t>Reconstrução de Muro</t>
  </si>
  <si>
    <t>Reboco</t>
  </si>
  <si>
    <t>Marquise</t>
  </si>
  <si>
    <t>Poço de Visita</t>
  </si>
  <si>
    <t>Estucagem de Muros</t>
  </si>
  <si>
    <t>Balizamento</t>
  </si>
  <si>
    <t>B</t>
  </si>
  <si>
    <t>A</t>
  </si>
  <si>
    <t>Nota de Remessa</t>
  </si>
  <si>
    <t>Lacre</t>
  </si>
  <si>
    <t>Caminhão</t>
  </si>
  <si>
    <t>Pedido</t>
  </si>
  <si>
    <t>Recebido (m³)</t>
  </si>
  <si>
    <t>Consumido (m³)</t>
  </si>
  <si>
    <t>Medido (m³)</t>
  </si>
  <si>
    <t>Regularização de Piso</t>
  </si>
  <si>
    <t>Medição</t>
  </si>
  <si>
    <t>RecebID</t>
  </si>
  <si>
    <t>ConsID</t>
  </si>
  <si>
    <t>Bloco Estrutural</t>
  </si>
  <si>
    <t>Ordem</t>
  </si>
  <si>
    <t>Geral</t>
  </si>
  <si>
    <t>Custo</t>
  </si>
  <si>
    <t>Usuario</t>
  </si>
  <si>
    <t>Cadastro</t>
  </si>
  <si>
    <t>gabrielararuna</t>
  </si>
  <si>
    <t>Argamassa Estabilizada</t>
  </si>
  <si>
    <t>Alvenaria de Contenção</t>
  </si>
  <si>
    <t>Calçada</t>
  </si>
  <si>
    <t>Apartamento</t>
  </si>
  <si>
    <t>Meio-Fio</t>
  </si>
  <si>
    <t>Divisão</t>
  </si>
  <si>
    <t>Quantidade</t>
  </si>
  <si>
    <t>Volume</t>
  </si>
  <si>
    <t>Volume por Unidade</t>
  </si>
  <si>
    <t>Login</t>
  </si>
  <si>
    <t>Senha</t>
  </si>
  <si>
    <t>deSousa!996</t>
  </si>
  <si>
    <t>eugeniocoutinho</t>
  </si>
  <si>
    <t>Hus07468</t>
  </si>
  <si>
    <t>joaojunior</t>
  </si>
  <si>
    <t>Previsto (m³)</t>
  </si>
  <si>
    <t>Custo Unitário Real</t>
  </si>
  <si>
    <t>Custo Unitário Previsto</t>
  </si>
  <si>
    <t>321</t>
  </si>
  <si>
    <t>ROO3C09</t>
  </si>
  <si>
    <t>19</t>
  </si>
  <si>
    <t>Equipamentos Comunitários</t>
  </si>
  <si>
    <t>Infraestrutura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</si>
</sst>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-* #,##0.0000_-;\-* #,##0.0000_-;_-* &quot;-&quot;??_-;_-@_-"/>
    <numFmt numFmtId="167" formatCode="[$-F400]h:mm:ss\ AM/PM"/>
    <numFmt numFmtId="168" formatCode="d/m/yy\ h:mm;@"/>
    <numFmt numFmtId="170" formatCode="m/d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 applyAlignment="1">
      <alignment horizontal="center" vertical="center"/>
    </xf>
    <xf numFmtId="166" fontId="2" fillId="0" borderId="0" xfId="1" applyNumberFormat="1" applyFont="1" applyAlignment="1">
      <alignment horizontal="center" vertical="center"/>
    </xf>
    <xf numFmtId="49" fontId="2" fillId="0" borderId="0" xfId="1" applyNumberFormat="1" applyFont="1" applyAlignment="1" applyProtection="1">
      <alignment horizontal="center" vertical="center"/>
    </xf>
    <xf numFmtId="167" fontId="2" fillId="0" borderId="0" xfId="1" applyNumberFormat="1" applyFont="1" applyAlignment="1" applyProtection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166" fontId="2" fillId="2" borderId="0" xfId="1" applyNumberFormat="1" applyFont="1" applyFill="1" applyAlignment="1" applyProtection="1">
      <alignment horizontal="center" vertical="center"/>
    </xf>
    <xf numFmtId="0" fontId="2" fillId="2" borderId="0" xfId="0" applyFont="1" applyFill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22" fontId="2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6" fontId="2" fillId="0" borderId="0" xfId="1" applyNumberFormat="1" applyFont="1" applyFill="1" applyAlignment="1" applyProtection="1">
      <alignment horizontal="center" vertical="center"/>
    </xf>
    <xf numFmtId="49" fontId="2" fillId="0" borderId="0" xfId="1" applyNumberFormat="1" applyFont="1" applyFill="1" applyAlignment="1" applyProtection="1">
      <alignment horizontal="center" vertical="center"/>
    </xf>
    <xf numFmtId="167" fontId="2" fillId="0" borderId="0" xfId="1" applyNumberFormat="1" applyFont="1" applyFill="1" applyAlignment="1" applyProtection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5" fontId="0" fillId="0" borderId="0" xfId="1" applyFont="1"/>
    <xf numFmtId="166" fontId="0" fillId="0" borderId="0" xfId="1" applyNumberFormat="1" applyFont="1"/>
    <xf numFmtId="164" fontId="0" fillId="0" borderId="0" xfId="2" applyFont="1"/>
    <xf numFmtId="164" fontId="2" fillId="3" borderId="0" xfId="2" applyFont="1" applyFill="1" applyAlignment="1">
      <alignment horizontal="center" vertical="center"/>
    </xf>
    <xf numFmtId="166" fontId="2" fillId="3" borderId="0" xfId="1" applyNumberFormat="1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170" fontId="2" fillId="0" borderId="0" xfId="0" applyNumberFormat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</xf>
    <xf numFmtId="168" fontId="2" fillId="0" borderId="0" xfId="0" applyNumberFormat="1" applyFont="1" applyFill="1" applyAlignment="1" applyProtection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38">
    <dxf>
      <numFmt numFmtId="166" formatCode="_-* #,##0.0000_-;\-* #,##0.0000_-;_-* &quot;-&quot;??_-;_-@_-"/>
    </dxf>
    <dxf>
      <numFmt numFmtId="166" formatCode="_-* #,##0.0000_-;\-* #,##0.0000_-;_-* &quot;-&quot;??_-;_-@_-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m/d/yyyy\ 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-* #,##0.0000_-;\-* #,##0.000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-* #,##0.0000_-;\-* #,##0.00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m/d/yyyy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d/m/yy\ h:mm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-* #,##0.0000_-;\-* #,##0.00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-* #,##0.0000_-;\-* #,##0.0000_-;_-* &quot;-&quot;??_-;_-@_-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-* #,##0.0000_-;\-* #,##0.00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7/relationships/slicerCache" Target="slicerCaches/slicerCache9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7/relationships/slicerCache" Target="slicerCaches/slicerCache8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7/relationships/slicerCache" Target="slicerCaches/slicerCache7.xml"/><Relationship Id="rId5" Type="http://schemas.microsoft.com/office/2007/relationships/slicerCache" Target="slicerCaches/slicerCache1.xml"/><Relationship Id="rId15" Type="http://schemas.openxmlformats.org/officeDocument/2006/relationships/theme" Target="theme/theme1.xml"/><Relationship Id="rId10" Type="http://schemas.microsoft.com/office/2007/relationships/slicerCache" Target="slicerCaches/slicerCache6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5.xml"/><Relationship Id="rId14" Type="http://schemas.microsoft.com/office/2007/relationships/slicerCache" Target="slicerCaches/slicerCache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</xdr:col>
      <xdr:colOff>326550</xdr:colOff>
      <xdr:row>1</xdr:row>
      <xdr:rowOff>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Data">
              <a:extLst>
                <a:ext uri="{FF2B5EF4-FFF2-40B4-BE49-F238E27FC236}">
                  <a16:creationId xmlns:a16="http://schemas.microsoft.com/office/drawing/2014/main" id="{6CC3124D-259D-0573-8DC4-47D59C6C3D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2600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1264584</xdr:colOff>
      <xdr:row>0</xdr:row>
      <xdr:rowOff>0</xdr:rowOff>
    </xdr:from>
    <xdr:to>
      <xdr:col>5</xdr:col>
      <xdr:colOff>467911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Insumo">
              <a:extLst>
                <a:ext uri="{FF2B5EF4-FFF2-40B4-BE49-F238E27FC236}">
                  <a16:creationId xmlns:a16="http://schemas.microsoft.com/office/drawing/2014/main" id="{1AC4391D-ECDD-D2F7-3E96-8A613FCA75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sum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2375" y="0"/>
              <a:ext cx="216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323850</xdr:colOff>
      <xdr:row>0</xdr:row>
      <xdr:rowOff>0</xdr:rowOff>
    </xdr:from>
    <xdr:to>
      <xdr:col>3</xdr:col>
      <xdr:colOff>19509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Pedido">
              <a:extLst>
                <a:ext uri="{FF2B5EF4-FFF2-40B4-BE49-F238E27FC236}">
                  <a16:creationId xmlns:a16="http://schemas.microsoft.com/office/drawing/2014/main" id="{C5CD26DC-1C45-BA89-7F2F-45F955D19A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300" y="0"/>
              <a:ext cx="126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16809</xdr:colOff>
      <xdr:row>0</xdr:row>
      <xdr:rowOff>0</xdr:rowOff>
    </xdr:from>
    <xdr:to>
      <xdr:col>3</xdr:col>
      <xdr:colOff>1276809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Medição">
              <a:extLst>
                <a:ext uri="{FF2B5EF4-FFF2-40B4-BE49-F238E27FC236}">
                  <a16:creationId xmlns:a16="http://schemas.microsoft.com/office/drawing/2014/main" id="{8E729BD0-8E1C-436A-7245-EDAD4E1C43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14600" y="0"/>
              <a:ext cx="126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5</xdr:col>
      <xdr:colOff>616323</xdr:colOff>
      <xdr:row>0</xdr:row>
      <xdr:rowOff>586068</xdr:rowOff>
    </xdr:from>
    <xdr:to>
      <xdr:col>7</xdr:col>
      <xdr:colOff>894565</xdr:colOff>
      <xdr:row>0</xdr:row>
      <xdr:rowOff>862293</xdr:rowOff>
    </xdr:to>
    <xdr:sp macro="[0]!AbrirListaCaminhoes.AbrirListaCaminho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82C7105-5F7F-4812-1414-5EEE03371D92}"/>
            </a:ext>
          </a:extLst>
        </xdr:cNvPr>
        <xdr:cNvSpPr/>
      </xdr:nvSpPr>
      <xdr:spPr>
        <a:xfrm>
          <a:off x="6073588" y="586068"/>
          <a:ext cx="2384948" cy="27622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Novo</a:t>
          </a:r>
          <a:r>
            <a:rPr lang="pt-BR" sz="1100" baseline="0"/>
            <a:t> Recebimento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326550</xdr:colOff>
      <xdr:row>0</xdr:row>
      <xdr:rowOff>943200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Insumo 1">
              <a:extLst>
                <a:ext uri="{FF2B5EF4-FFF2-40B4-BE49-F238E27FC236}">
                  <a16:creationId xmlns:a16="http://schemas.microsoft.com/office/drawing/2014/main" id="{FF8BFFF6-E5E6-280D-C49C-54F6BBCF9F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sum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260000" cy="9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323850</xdr:colOff>
      <xdr:row>0</xdr:row>
      <xdr:rowOff>0</xdr:rowOff>
    </xdr:from>
    <xdr:to>
      <xdr:col>3</xdr:col>
      <xdr:colOff>409350</xdr:colOff>
      <xdr:row>0</xdr:row>
      <xdr:rowOff>943200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Serviço">
              <a:extLst>
                <a:ext uri="{FF2B5EF4-FFF2-40B4-BE49-F238E27FC236}">
                  <a16:creationId xmlns:a16="http://schemas.microsoft.com/office/drawing/2014/main" id="{2DAE192F-4B65-E697-BC3B-E8C81F41D9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300" y="0"/>
              <a:ext cx="1800000" cy="9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400050</xdr:colOff>
      <xdr:row>0</xdr:row>
      <xdr:rowOff>0</xdr:rowOff>
    </xdr:from>
    <xdr:to>
      <xdr:col>4</xdr:col>
      <xdr:colOff>803775</xdr:colOff>
      <xdr:row>0</xdr:row>
      <xdr:rowOff>943200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oluna">
              <a:extLst>
                <a:ext uri="{FF2B5EF4-FFF2-40B4-BE49-F238E27FC236}">
                  <a16:creationId xmlns:a16="http://schemas.microsoft.com/office/drawing/2014/main" id="{B8B20D91-FF21-4D02-19B0-EBDA578979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00" y="0"/>
              <a:ext cx="1080000" cy="9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800100</xdr:colOff>
      <xdr:row>0</xdr:row>
      <xdr:rowOff>0</xdr:rowOff>
    </xdr:from>
    <xdr:to>
      <xdr:col>5</xdr:col>
      <xdr:colOff>1190625</xdr:colOff>
      <xdr:row>0</xdr:row>
      <xdr:rowOff>936000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Bloco">
              <a:extLst>
                <a:ext uri="{FF2B5EF4-FFF2-40B4-BE49-F238E27FC236}">
                  <a16:creationId xmlns:a16="http://schemas.microsoft.com/office/drawing/2014/main" id="{4A1C27E3-682B-F513-2996-0334767453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lo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4325" y="0"/>
              <a:ext cx="18288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1181100</xdr:colOff>
      <xdr:row>0</xdr:row>
      <xdr:rowOff>0</xdr:rowOff>
    </xdr:from>
    <xdr:to>
      <xdr:col>7</xdr:col>
      <xdr:colOff>192225</xdr:colOff>
      <xdr:row>0</xdr:row>
      <xdr:rowOff>936000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avimento">
              <a:extLst>
                <a:ext uri="{FF2B5EF4-FFF2-40B4-BE49-F238E27FC236}">
                  <a16:creationId xmlns:a16="http://schemas.microsoft.com/office/drawing/2014/main" id="{83D57390-3173-1D30-C5D3-2FA2EA49B2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vi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43600" y="0"/>
              <a:ext cx="144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190500</xdr:colOff>
      <xdr:row>0</xdr:row>
      <xdr:rowOff>0</xdr:rowOff>
    </xdr:from>
    <xdr:to>
      <xdr:col>9</xdr:col>
      <xdr:colOff>256950</xdr:colOff>
      <xdr:row>0</xdr:row>
      <xdr:rowOff>936000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Unidade">
              <a:extLst>
                <a:ext uri="{FF2B5EF4-FFF2-40B4-BE49-F238E27FC236}">
                  <a16:creationId xmlns:a16="http://schemas.microsoft.com/office/drawing/2014/main" id="{8AD9FBB8-0838-1091-70DC-14A457D1AA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81875" y="0"/>
              <a:ext cx="180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9</xdr:col>
      <xdr:colOff>390525</xdr:colOff>
      <xdr:row>0</xdr:row>
      <xdr:rowOff>581025</xdr:rowOff>
    </xdr:from>
    <xdr:to>
      <xdr:col>10</xdr:col>
      <xdr:colOff>790350</xdr:colOff>
      <xdr:row>0</xdr:row>
      <xdr:rowOff>857250</xdr:rowOff>
    </xdr:to>
    <xdr:sp macro="[0]!AbrirListaCaminhoes.AbrirListaCaminhoe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A2D8CB9-1EBA-4A72-A8EF-693D668B2246}"/>
            </a:ext>
          </a:extLst>
        </xdr:cNvPr>
        <xdr:cNvSpPr/>
      </xdr:nvSpPr>
      <xdr:spPr>
        <a:xfrm>
          <a:off x="9315450" y="581025"/>
          <a:ext cx="1504725" cy="27622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Novo</a:t>
          </a:r>
          <a:r>
            <a:rPr lang="pt-BR" sz="1100" baseline="0"/>
            <a:t> Consumo</a:t>
          </a:r>
          <a:endParaRPr lang="pt-BR" sz="1100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B639903A-8468-450E-BFB5-EC0A10297AA3}" sourceName="Data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sumo" xr10:uid="{074DC03A-8C04-41F1-8782-E363D1202D6D}" sourceName="Insumo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dido" xr10:uid="{040659E3-7496-4922-9E10-5DF9FB003A84}" sourceName="Pedido">
  <extLst>
    <x:ext xmlns:x15="http://schemas.microsoft.com/office/spreadsheetml/2010/11/main" uri="{2F2917AC-EB37-4324-AD4E-5DD8C200BD13}">
      <x15:tableSlicerCache tableId="3" column="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ção" xr10:uid="{B84DE35F-3DA4-4E23-9488-B0FB2F5CD9B6}" sourceName="Medição">
  <extLst>
    <x:ext xmlns:x15="http://schemas.microsoft.com/office/spreadsheetml/2010/11/main" uri="{2F2917AC-EB37-4324-AD4E-5DD8C200BD13}">
      <x15:tableSlicerCache tableId="3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sumo1" xr10:uid="{B13582B1-49DC-450C-B264-644AC3C879B2}" sourceName="Insumo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rviço" xr10:uid="{32FF772D-9888-426C-8482-D017329F0665}" sourceName="Serviço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luna" xr10:uid="{ACA6322E-19D4-4FDE-A31C-B37C16576015}" sourceName="Coluna">
  <extLst>
    <x:ext xmlns:x15="http://schemas.microsoft.com/office/spreadsheetml/2010/11/main" uri="{2F2917AC-EB37-4324-AD4E-5DD8C200BD13}">
      <x15:tableSlicerCache tableId="2" column="6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loco" xr10:uid="{E1450AE2-4D6E-4C0F-8895-5C8F40AC04DD}" sourceName="Bloco">
  <extLst>
    <x:ext xmlns:x15="http://schemas.microsoft.com/office/spreadsheetml/2010/11/main" uri="{2F2917AC-EB37-4324-AD4E-5DD8C200BD13}">
      <x15:tableSlicerCache tableId="2" column="4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vimento" xr10:uid="{0D7CF286-7620-4F85-959F-014627F51C18}" sourceName="Pavimento">
  <extLst>
    <x:ext xmlns:x15="http://schemas.microsoft.com/office/spreadsheetml/2010/11/main" uri="{2F2917AC-EB37-4324-AD4E-5DD8C200BD13}">
      <x15:tableSlicerCache tableId="2" column="5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nidade" xr10:uid="{4D408C01-6FD4-4378-BA02-45893B9E3812}" sourceName="Unidade">
  <extLst>
    <x:ext xmlns:x15="http://schemas.microsoft.com/office/spreadsheetml/2010/11/main" uri="{2F2917AC-EB37-4324-AD4E-5DD8C200BD13}">
      <x15:tableSlicerCache tableId="2" column="1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FE804B04-01EB-4C14-83CA-3B02DB362193}" cache="SegmentaçãodeDados_Data" caption="Data" style="SlicerStyleLight6" rowHeight="216000"/>
  <slicer name="Insumo" xr10:uid="{4C8B56F9-ED3D-4B96-8860-80911D1C59EA}" cache="SegmentaçãodeDados_Insumo" caption="Insumo" style="SlicerStyleLight6" rowHeight="241300"/>
  <slicer name="Pedido" xr10:uid="{979EF6C0-1757-4662-B6D4-2639A7A0F46B}" cache="SegmentaçãodeDados_Pedido" caption="Pedido" style="SlicerStyleLight6" rowHeight="241300"/>
  <slicer name="Medição" xr10:uid="{0AED1563-A537-46C4-B452-5129BDDAF946}" cache="SegmentaçãodeDados_Medição" caption="Mediçã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sumo 1" xr10:uid="{8C066A97-C597-4093-881C-99154EC4AE6A}" cache="SegmentaçãodeDados_Insumo1" caption="Insumo" style="SlicerStyleLight6" rowHeight="241300"/>
  <slicer name="Serviço" xr10:uid="{849BBFD3-3BD0-4CCD-891E-90FEE66B99CD}" cache="SegmentaçãodeDados_Serviço" caption="Serviço" style="SlicerStyleLight6" rowHeight="241300"/>
  <slicer name="Coluna" xr10:uid="{3B96C6F3-8C5D-4050-A483-75C580A9FB97}" cache="SegmentaçãodeDados_Coluna" caption="Coluna" columnCount="2" style="SlicerStyleLight6" rowHeight="241300"/>
  <slicer name="Bloco" xr10:uid="{358AC53A-69B2-4E98-9E96-697BA315A549}" cache="SegmentaçãodeDados_Bloco" caption="Bloco" columnCount="3" style="SlicerStyleLight6" rowHeight="241300"/>
  <slicer name="Pavimento" xr10:uid="{DD507399-4317-4002-91C5-34F0A8B5E2C8}" cache="SegmentaçãodeDados_Pavimento" caption="Pavimento" style="SlicerStyleLight6" rowHeight="241300"/>
  <slicer name="Unidade" xr10:uid="{8ED5C167-9B01-497C-AD51-54D96B7D7500}" cache="SegmentaçãodeDados_Unidade" caption="Unidade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58DCE5-28BC-41AA-A92F-4D6B4A7DBBEC}" name="recebArgamassa" displayName="recebArgamassa" ref="A2:P215" totalsRowShown="0" headerRowDxfId="37" dataDxfId="36">
  <autoFilter ref="A2:P215" xr:uid="{BC58DCE5-28BC-41AA-A92F-4D6B4A7DBBEC}"/>
  <sortState xmlns:xlrd2="http://schemas.microsoft.com/office/spreadsheetml/2017/richdata2" ref="A3:M214">
    <sortCondition ref="A2:A214"/>
  </sortState>
  <tableColumns count="16">
    <tableColumn id="1" xr3:uid="{123471AB-ABC9-44A9-B0B7-0067A3B390EF}" name="RecebID" dataDxfId="35">
      <calculatedColumnFormula>CONCATENATE("RCBARG",TEXT(recebArgamassa[[#This Row],[Ordem]],"00000"))</calculatedColumnFormula>
    </tableColumn>
    <tableColumn id="11" xr3:uid="{2BB09AE0-7A01-45DC-B075-F5886C643C89}" name="Ordem" dataDxfId="34" dataCellStyle="Vírgula"/>
    <tableColumn id="2" xr3:uid="{3878302A-7CA5-4711-B8BA-C8663E4898FA}" name="Data" dataDxfId="33"/>
    <tableColumn id="3" xr3:uid="{086DA070-83F3-4A11-BE9C-65B9FF47F184}" name="Insumo" dataDxfId="32"/>
    <tableColumn id="9" xr3:uid="{F119A660-118A-418E-BF55-7AFB92951C7C}" name="Nota de Remessa" dataDxfId="31"/>
    <tableColumn id="8" xr3:uid="{37A9D03E-25B3-43BC-8BB8-68B2DF877B3B}" name="Lacre" dataDxfId="30"/>
    <tableColumn id="10" xr3:uid="{F5034D40-1952-4B66-A8F3-DBA848442948}" name="Saída da Usina" dataDxfId="29"/>
    <tableColumn id="6" xr3:uid="{9549DB07-E912-46DC-A7FA-E4AD952CCBFC}" name="Caminhão" dataDxfId="28"/>
    <tableColumn id="7" xr3:uid="{E8290645-6B45-45B0-B753-2044F912CA37}" name="Pedido" dataDxfId="27"/>
    <tableColumn id="14" xr3:uid="{23F7AFCC-7C94-4534-A0E8-6B9F80E95679}" name="Medição" dataDxfId="26"/>
    <tableColumn id="4" xr3:uid="{5489E292-D311-4107-A79D-F9A794FF8768}" name="Recebido (m³)" dataDxfId="25" dataCellStyle="Vírgula"/>
    <tableColumn id="5" xr3:uid="{0E686FD8-9A74-4D4C-A80A-103CF090F6B9}" name="Consumido (m³)" dataDxfId="24" dataCellStyle="Vírgula">
      <calculatedColumnFormula>SUMIFS(consArgamassa[Consumido (m³)],consArgamassa[RecebID],recebArgamassa[[#This Row],[RecebID]])</calculatedColumnFormula>
    </tableColumn>
    <tableColumn id="12" xr3:uid="{E733050C-D7C4-476D-A7A3-01F2FDB7523F}" name="Medido (m³)" dataDxfId="23" dataCellStyle="Vírgula"/>
    <tableColumn id="13" xr3:uid="{EC516599-D9B3-41A6-8C6F-2FF11824DC90}" name="Custo" dataDxfId="22"/>
    <tableColumn id="15" xr3:uid="{5D0F4F6C-1F1A-4E5F-AA6F-A8C87CC9AC5F}" name="Usuario" dataDxfId="21"/>
    <tableColumn id="16" xr3:uid="{CD2DF3AD-4487-4FD2-8158-1E86B7980045}" name="Cadastro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D93DC-C89F-4AB0-B896-B24C02ABA903}" name="consArgamassa" displayName="consArgamassa" ref="A2:P392" totalsRowShown="0" headerRowDxfId="19" dataDxfId="18">
  <autoFilter ref="A2:P392" xr:uid="{3BED93DC-C89F-4AB0-B896-B24C02ABA903}"/>
  <sortState xmlns:xlrd2="http://schemas.microsoft.com/office/spreadsheetml/2017/richdata2" ref="A3:P392">
    <sortCondition ref="C2:C392"/>
  </sortState>
  <tableColumns count="16">
    <tableColumn id="1" xr3:uid="{ED006860-D54E-4F31-AC55-F81904055E62}" name="RecebID" dataDxfId="17"/>
    <tableColumn id="2" xr3:uid="{B2807E02-93BB-4AA8-8AC5-CD75747661E2}" name="ConsID" dataDxfId="16">
      <calculatedColumnFormula>CONCATENATE("CNSARG",TEXT(consArgamassa[[#This Row],[Ordem]],"00000"))</calculatedColumnFormula>
    </tableColumn>
    <tableColumn id="7" xr3:uid="{989231C2-47D5-43B6-88C6-E874FF9E83F9}" name="Ordem" dataDxfId="15"/>
    <tableColumn id="10" xr3:uid="{4E086A12-9B33-4B28-81BD-70481DEFE406}" name="Data" dataDxfId="14">
      <calculatedColumnFormula>VLOOKUP(consArgamassa[[#This Row],[RecebID]],recebArgamassa[[RecebID]:[Insumo]],3,FALSE)</calculatedColumnFormula>
    </tableColumn>
    <tableColumn id="9" xr3:uid="{33C1EA7F-4FBF-4FD6-B5BC-3F041A2F6118}" name="Insumo" dataDxfId="13">
      <calculatedColumnFormula>VLOOKUP(consArgamassa[[#This Row],[RecebID]],recebArgamassa[[RecebID]:[Insumo]],4,FALSE)</calculatedColumnFormula>
    </tableColumn>
    <tableColumn id="3" xr3:uid="{A7931F4C-B033-4FAA-A046-F528B75FD754}" name="Serviço" dataDxfId="12"/>
    <tableColumn id="6" xr3:uid="{FDF7B5D6-F47B-46D3-87F9-03CB3D15A2CD}" name="Coluna" dataDxfId="11"/>
    <tableColumn id="4" xr3:uid="{27AD6C21-7A7C-4E9C-90D1-62CB1419554F}" name="Bloco" dataDxfId="10"/>
    <tableColumn id="5" xr3:uid="{D0B15DB1-4BF8-4D26-9CA6-25FE8CC637DA}" name="Pavimento" dataDxfId="9"/>
    <tableColumn id="11" xr3:uid="{6CFB3D7E-7930-4773-B9B8-04A780247714}" name="Unidade" dataDxfId="8"/>
    <tableColumn id="8" xr3:uid="{81DC5990-1F5B-4650-8C01-1D2F80C2D704}" name="Consumido (m³)" dataDxfId="7" dataCellStyle="Vírgula"/>
    <tableColumn id="12" xr3:uid="{EE4111A3-7433-474F-8C9C-0CE0EBCD3E3A}" name="Previsto (m³)" dataDxfId="6" dataCellStyle="Vírgula">
      <calculatedColumnFormula>IFERROR(VLOOKUP(consArgamassa[[#This Row],[Serviço]],Tabela4[],5,FALSE),"")</calculatedColumnFormula>
    </tableColumn>
    <tableColumn id="13" xr3:uid="{E0665C67-0A05-4FCC-A49E-69A25C2C2117}" name="Custo Unitário Real" dataDxfId="5" dataCellStyle="Moeda">
      <calculatedColumnFormula>VLOOKUP(consArgamassa[[#This Row],[RecebID]],recebArgamassa[],14,FALSE)</calculatedColumnFormula>
    </tableColumn>
    <tableColumn id="16" xr3:uid="{87CB86CC-3852-4A2A-A5AF-22AFF6597AB6}" name="Custo Unitário Previsto" dataDxfId="4" dataCellStyle="Moeda">
      <calculatedColumnFormula>IFERROR(VLOOKUP(consArgamassa[[#This Row],[Serviço]],Tabela4[],6,FALSE),"")</calculatedColumnFormula>
    </tableColumn>
    <tableColumn id="14" xr3:uid="{89F4704A-D697-4A83-B4C3-D8620709956F}" name="Usuario" dataDxfId="3"/>
    <tableColumn id="15" xr3:uid="{17895856-335D-4D4D-BA08-62B65B0D759E}" name="Cadastro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AD399D-9A00-440E-A7C3-A8F96524A110}" name="Tabela4" displayName="Tabela4" ref="A1:F15" totalsRowShown="0">
  <autoFilter ref="A1:F15" xr:uid="{07AD399D-9A00-440E-A7C3-A8F96524A110}"/>
  <tableColumns count="6">
    <tableColumn id="1" xr3:uid="{5D93C033-63D4-4584-A821-2A72F1361829}" name="Serviço"/>
    <tableColumn id="2" xr3:uid="{2936D147-2114-4628-9AEA-C0865E119AA5}" name="Divisão"/>
    <tableColumn id="3" xr3:uid="{E2030577-4AC9-4E55-8962-EA6DF3F63459}" name="Quantidade" dataCellStyle="Vírgula">
      <calculatedColumnFormula>IF(Tabela4[[#This Row],[Divisão]]="Apartamento",320,
IF(Tabela4[[#This Row],[Divisão]]="Bloco",10,
IF(Tabela4[[#This Row],[Divisão]]="Coluna",20,
IF(Tabela4[[#This Row],[Divisão]]="Hall",80,
COUNTIFS(consArgamassa[Serviço],Tabela4[[#This Row],[Serviço]])))))</calculatedColumnFormula>
    </tableColumn>
    <tableColumn id="4" xr3:uid="{B7DD397F-EACC-4751-8117-DFC18CB8F8B3}" name="Volume" dataDxfId="1" dataCellStyle="Vírgula"/>
    <tableColumn id="5" xr3:uid="{121C2941-56A0-4B12-878B-E4E4C7E57FC9}" name="Volume por Unidade" dataDxfId="0" dataCellStyle="Vírgula">
      <calculatedColumnFormula>IFERROR(Tabela4[[#This Row],[Volume]]/Tabela4[[#This Row],[Quantidade]],0)</calculatedColumnFormula>
    </tableColumn>
    <tableColumn id="6" xr3:uid="{B04B3EBB-6006-4DA1-A10E-329798AED8EA}" name="Custo Unitário Previsto" dataCellStyle="Moed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4B3B2F-E15C-45F6-9DA1-B81C60D57663}" name="tabUser" displayName="tabUser" ref="A1:B4" totalsRowShown="0">
  <autoFilter ref="A1:B4" xr:uid="{E8FB7A3A-D7A9-41FC-92B5-29909F1C1164}"/>
  <tableColumns count="2">
    <tableColumn id="1" xr3:uid="{D21FC87C-B4BC-4494-9142-E5A1AD7EDB3A}" name="Login"/>
    <tableColumn id="2" xr3:uid="{185116B0-1BFB-4AED-8737-11492C7D754B}" name="Senh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29C95-3EE0-4CEA-9D5C-AA596DF047B3}">
  <sheetPr codeName="Planilha2"/>
  <dimension ref="A1:P215"/>
  <sheetViews>
    <sheetView zoomScale="70" zoomScaleNormal="70" workbookViewId="0">
      <selection activeCell="J198" sqref="J198"/>
    </sheetView>
  </sheetViews>
  <sheetFormatPr defaultRowHeight="12.75" x14ac:dyDescent="0.25"/>
  <cols>
    <col min="1" max="1" width="14" style="1" bestFit="1" customWidth="1"/>
    <col min="2" max="2" width="12.85546875" style="8" bestFit="1" customWidth="1"/>
    <col min="3" max="3" width="10.42578125" style="1" bestFit="1" customWidth="1"/>
    <col min="4" max="4" width="21.5703125" style="3" bestFit="1" customWidth="1"/>
    <col min="5" max="5" width="23" style="3" bestFit="1" customWidth="1"/>
    <col min="6" max="6" width="11.7109375" style="4" bestFit="1" customWidth="1"/>
    <col min="7" max="7" width="19.85546875" style="5" bestFit="1" customWidth="1"/>
    <col min="8" max="8" width="15.7109375" style="1" bestFit="1" customWidth="1"/>
    <col min="9" max="9" width="12.85546875" style="1" bestFit="1" customWidth="1"/>
    <col min="10" max="10" width="14.28515625" style="1" bestFit="1" customWidth="1"/>
    <col min="11" max="11" width="21" style="1" bestFit="1" customWidth="1"/>
    <col min="12" max="12" width="23.28515625" style="1" bestFit="1" customWidth="1"/>
    <col min="13" max="13" width="17.85546875" style="1" bestFit="1" customWidth="1"/>
    <col min="14" max="14" width="12.140625" style="1" bestFit="1" customWidth="1"/>
    <col min="15" max="15" width="13.5703125" style="1" bestFit="1" customWidth="1"/>
    <col min="16" max="16" width="15" style="12" bestFit="1" customWidth="1"/>
    <col min="17" max="16384" width="9.140625" style="1"/>
  </cols>
  <sheetData>
    <row r="1" spans="1:16" ht="75" customHeight="1" x14ac:dyDescent="0.25"/>
    <row r="2" spans="1:16" x14ac:dyDescent="0.25">
      <c r="A2" s="1" t="s">
        <v>266</v>
      </c>
      <c r="B2" s="8" t="s">
        <v>269</v>
      </c>
      <c r="C2" s="11" t="s">
        <v>0</v>
      </c>
      <c r="D2" s="1" t="s">
        <v>1</v>
      </c>
      <c r="E2" s="5" t="s">
        <v>257</v>
      </c>
      <c r="F2" s="5" t="s">
        <v>258</v>
      </c>
      <c r="G2" s="14" t="s">
        <v>24</v>
      </c>
      <c r="H2" s="5" t="s">
        <v>259</v>
      </c>
      <c r="I2" s="5" t="s">
        <v>260</v>
      </c>
      <c r="J2" s="1" t="s">
        <v>265</v>
      </c>
      <c r="K2" s="15" t="s">
        <v>261</v>
      </c>
      <c r="L2" s="15" t="s">
        <v>262</v>
      </c>
      <c r="M2" s="1" t="s">
        <v>263</v>
      </c>
      <c r="N2" s="1" t="s">
        <v>271</v>
      </c>
      <c r="O2" s="1" t="s">
        <v>272</v>
      </c>
      <c r="P2" s="12" t="s">
        <v>273</v>
      </c>
    </row>
    <row r="3" spans="1:16" x14ac:dyDescent="0.25">
      <c r="A3" s="7" t="str">
        <f>CONCATENATE("RCBARG",TEXT(recebArgamassa[[#This Row],[Ordem]],"00000"))</f>
        <v>RCBARG00001</v>
      </c>
      <c r="B3" s="9">
        <v>1</v>
      </c>
      <c r="C3" s="11">
        <v>44562</v>
      </c>
      <c r="D3" s="1" t="s">
        <v>275</v>
      </c>
      <c r="E3" s="5"/>
      <c r="F3" s="5"/>
      <c r="G3" s="14"/>
      <c r="H3" s="5" t="s">
        <v>22</v>
      </c>
      <c r="I3" s="5"/>
      <c r="K3" s="15">
        <v>194.5</v>
      </c>
      <c r="L3" s="6">
        <f>SUMIFS(consArgamassa[Consumido (m³)],consArgamassa[RecebID],recebArgamassa[[#This Row],[RecebID]])</f>
        <v>194.5</v>
      </c>
      <c r="M3" s="15">
        <v>194.5</v>
      </c>
      <c r="N3" s="1">
        <v>464.75</v>
      </c>
      <c r="O3" s="1" t="s">
        <v>274</v>
      </c>
      <c r="P3" s="12">
        <v>36892</v>
      </c>
    </row>
    <row r="4" spans="1:16" x14ac:dyDescent="0.25">
      <c r="A4" s="7" t="str">
        <f>CONCATENATE("RCBARG",TEXT(recebArgamassa[[#This Row],[Ordem]],"00000"))</f>
        <v>RCBARG00002</v>
      </c>
      <c r="B4" s="9">
        <v>2</v>
      </c>
      <c r="C4" s="11">
        <v>44868</v>
      </c>
      <c r="D4" s="1" t="s">
        <v>275</v>
      </c>
      <c r="E4" s="16">
        <v>31344</v>
      </c>
      <c r="F4" s="16">
        <v>5317589</v>
      </c>
      <c r="G4" s="17">
        <v>0.40416666666666701</v>
      </c>
      <c r="H4" s="5" t="s">
        <v>16</v>
      </c>
      <c r="I4" s="5"/>
      <c r="K4" s="15">
        <v>6</v>
      </c>
      <c r="L4" s="6">
        <f>SUMIFS(consArgamassa[Consumido (m³)],consArgamassa[RecebID],recebArgamassa[[#This Row],[RecebID]])</f>
        <v>6</v>
      </c>
      <c r="M4" s="18">
        <v>6</v>
      </c>
      <c r="N4" s="1">
        <v>464.75</v>
      </c>
      <c r="O4" s="1" t="s">
        <v>274</v>
      </c>
      <c r="P4" s="12">
        <v>36892</v>
      </c>
    </row>
    <row r="5" spans="1:16" x14ac:dyDescent="0.25">
      <c r="A5" s="7" t="str">
        <f>CONCATENATE("RCBARG",TEXT(recebArgamassa[[#This Row],[Ordem]],"00000"))</f>
        <v>RCBARG00003</v>
      </c>
      <c r="B5" s="9">
        <v>3</v>
      </c>
      <c r="C5" s="11">
        <v>44868</v>
      </c>
      <c r="D5" s="1" t="s">
        <v>275</v>
      </c>
      <c r="E5" s="16">
        <v>31344</v>
      </c>
      <c r="F5" s="16">
        <v>5317589</v>
      </c>
      <c r="G5" s="17">
        <v>0.40416666666666701</v>
      </c>
      <c r="H5" s="5" t="s">
        <v>16</v>
      </c>
      <c r="I5" s="5"/>
      <c r="K5" s="15">
        <v>2</v>
      </c>
      <c r="L5" s="6">
        <f>SUMIFS(consArgamassa[Consumido (m³)],consArgamassa[RecebID],recebArgamassa[[#This Row],[RecebID]])</f>
        <v>2</v>
      </c>
      <c r="M5" s="18">
        <v>2</v>
      </c>
      <c r="N5" s="1">
        <v>464.75</v>
      </c>
      <c r="O5" s="1" t="s">
        <v>274</v>
      </c>
      <c r="P5" s="12">
        <v>36892</v>
      </c>
    </row>
    <row r="6" spans="1:16" x14ac:dyDescent="0.25">
      <c r="A6" s="7" t="str">
        <f>CONCATENATE("RCBARG",TEXT(recebArgamassa[[#This Row],[Ordem]],"00000"))</f>
        <v>RCBARG00004</v>
      </c>
      <c r="B6" s="9">
        <v>4</v>
      </c>
      <c r="C6" s="11">
        <v>44872</v>
      </c>
      <c r="D6" s="1" t="s">
        <v>275</v>
      </c>
      <c r="E6" s="16">
        <v>31403</v>
      </c>
      <c r="F6" s="16">
        <v>5316293</v>
      </c>
      <c r="G6" s="17">
        <v>0.51527777777777795</v>
      </c>
      <c r="H6" s="5" t="s">
        <v>18</v>
      </c>
      <c r="I6" s="5"/>
      <c r="K6" s="15">
        <v>6</v>
      </c>
      <c r="L6" s="6">
        <f>SUMIFS(consArgamassa[Consumido (m³)],consArgamassa[RecebID],recebArgamassa[[#This Row],[RecebID]])</f>
        <v>6</v>
      </c>
      <c r="M6" s="18">
        <v>6</v>
      </c>
      <c r="N6" s="1">
        <v>464.75</v>
      </c>
      <c r="O6" s="1" t="s">
        <v>274</v>
      </c>
      <c r="P6" s="12">
        <v>36892</v>
      </c>
    </row>
    <row r="7" spans="1:16" x14ac:dyDescent="0.25">
      <c r="A7" s="7" t="str">
        <f>CONCATENATE("RCBARG",TEXT(recebArgamassa[[#This Row],[Ordem]],"00000"))</f>
        <v>RCBARG00005</v>
      </c>
      <c r="B7" s="9">
        <v>5</v>
      </c>
      <c r="C7" s="11">
        <v>44873</v>
      </c>
      <c r="D7" s="1" t="s">
        <v>275</v>
      </c>
      <c r="E7" s="16">
        <v>31421</v>
      </c>
      <c r="F7" s="16">
        <v>5317027</v>
      </c>
      <c r="G7" s="17">
        <v>0.43055555555555602</v>
      </c>
      <c r="H7" s="5" t="s">
        <v>19</v>
      </c>
      <c r="I7" s="5"/>
      <c r="K7" s="15">
        <v>5</v>
      </c>
      <c r="L7" s="6">
        <f>SUMIFS(consArgamassa[Consumido (m³)],consArgamassa[RecebID],recebArgamassa[[#This Row],[RecebID]])</f>
        <v>5</v>
      </c>
      <c r="M7" s="18">
        <v>5</v>
      </c>
      <c r="N7" s="1">
        <v>464.75</v>
      </c>
      <c r="O7" s="1" t="s">
        <v>274</v>
      </c>
      <c r="P7" s="12">
        <v>36892</v>
      </c>
    </row>
    <row r="8" spans="1:16" x14ac:dyDescent="0.25">
      <c r="A8" s="7" t="str">
        <f>CONCATENATE("RCBARG",TEXT(recebArgamassa[[#This Row],[Ordem]],"00000"))</f>
        <v>RCBARG00006</v>
      </c>
      <c r="B8" s="9">
        <v>6</v>
      </c>
      <c r="C8" s="11">
        <v>44875</v>
      </c>
      <c r="D8" s="1" t="s">
        <v>275</v>
      </c>
      <c r="E8" s="16">
        <v>31458</v>
      </c>
      <c r="F8" s="16">
        <v>5318105</v>
      </c>
      <c r="G8" s="17">
        <v>0.33888888888888902</v>
      </c>
      <c r="H8" s="5" t="s">
        <v>19</v>
      </c>
      <c r="I8" s="5"/>
      <c r="K8" s="15">
        <v>7</v>
      </c>
      <c r="L8" s="6">
        <f>SUMIFS(consArgamassa[Consumido (m³)],consArgamassa[RecebID],recebArgamassa[[#This Row],[RecebID]])</f>
        <v>7</v>
      </c>
      <c r="M8" s="18">
        <v>7</v>
      </c>
      <c r="N8" s="1">
        <v>464.75</v>
      </c>
      <c r="O8" s="1" t="s">
        <v>274</v>
      </c>
      <c r="P8" s="12">
        <v>36892</v>
      </c>
    </row>
    <row r="9" spans="1:16" x14ac:dyDescent="0.25">
      <c r="A9" s="7" t="str">
        <f>CONCATENATE("RCBARG",TEXT(recebArgamassa[[#This Row],[Ordem]],"00000"))</f>
        <v>RCBARG00007</v>
      </c>
      <c r="B9" s="9">
        <v>7</v>
      </c>
      <c r="C9" s="11">
        <v>44876</v>
      </c>
      <c r="D9" s="1" t="s">
        <v>275</v>
      </c>
      <c r="E9" s="16">
        <v>31484</v>
      </c>
      <c r="F9" s="16">
        <v>5482742</v>
      </c>
      <c r="G9" s="17">
        <v>0.32500000000000001</v>
      </c>
      <c r="H9" s="5" t="s">
        <v>12</v>
      </c>
      <c r="I9" s="5"/>
      <c r="K9" s="15">
        <v>4</v>
      </c>
      <c r="L9" s="6">
        <f>SUMIFS(consArgamassa[Consumido (m³)],consArgamassa[RecebID],recebArgamassa[[#This Row],[RecebID]])</f>
        <v>4</v>
      </c>
      <c r="M9" s="18">
        <v>4</v>
      </c>
      <c r="N9" s="1">
        <v>464.75</v>
      </c>
      <c r="O9" s="1" t="s">
        <v>274</v>
      </c>
      <c r="P9" s="12">
        <v>36892</v>
      </c>
    </row>
    <row r="10" spans="1:16" x14ac:dyDescent="0.25">
      <c r="A10" s="7" t="str">
        <f>CONCATENATE("RCBARG",TEXT(recebArgamassa[[#This Row],[Ordem]],"00000"))</f>
        <v>RCBARG00008</v>
      </c>
      <c r="B10" s="9">
        <v>8</v>
      </c>
      <c r="C10" s="11">
        <v>44876</v>
      </c>
      <c r="D10" s="1" t="s">
        <v>275</v>
      </c>
      <c r="E10" s="16">
        <v>31484</v>
      </c>
      <c r="F10" s="16">
        <v>5482742</v>
      </c>
      <c r="G10" s="17">
        <v>0.32500000000000001</v>
      </c>
      <c r="H10" s="5" t="s">
        <v>12</v>
      </c>
      <c r="I10" s="5"/>
      <c r="K10" s="15">
        <v>2</v>
      </c>
      <c r="L10" s="6">
        <f>SUMIFS(consArgamassa[Consumido (m³)],consArgamassa[RecebID],recebArgamassa[[#This Row],[RecebID]])</f>
        <v>2</v>
      </c>
      <c r="M10" s="18">
        <v>2</v>
      </c>
      <c r="N10" s="1">
        <v>464.75</v>
      </c>
      <c r="O10" s="1" t="s">
        <v>274</v>
      </c>
      <c r="P10" s="12">
        <v>36892</v>
      </c>
    </row>
    <row r="11" spans="1:16" x14ac:dyDescent="0.25">
      <c r="A11" s="7" t="str">
        <f>CONCATENATE("RCBARG",TEXT(recebArgamassa[[#This Row],[Ordem]],"00000"))</f>
        <v>RCBARG00009</v>
      </c>
      <c r="B11" s="9">
        <v>9</v>
      </c>
      <c r="C11" s="11">
        <v>44881</v>
      </c>
      <c r="D11" s="1" t="s">
        <v>275</v>
      </c>
      <c r="E11" s="16">
        <v>31570</v>
      </c>
      <c r="F11" s="16">
        <v>5482781</v>
      </c>
      <c r="G11" s="17">
        <v>0.4</v>
      </c>
      <c r="H11" s="5" t="s">
        <v>12</v>
      </c>
      <c r="I11" s="5"/>
      <c r="K11" s="15">
        <v>7</v>
      </c>
      <c r="L11" s="6">
        <f>SUMIFS(consArgamassa[Consumido (m³)],consArgamassa[RecebID],recebArgamassa[[#This Row],[RecebID]])</f>
        <v>7</v>
      </c>
      <c r="M11" s="18">
        <v>7</v>
      </c>
      <c r="N11" s="1">
        <v>464.75</v>
      </c>
      <c r="O11" s="1" t="s">
        <v>274</v>
      </c>
      <c r="P11" s="12">
        <v>36892</v>
      </c>
    </row>
    <row r="12" spans="1:16" x14ac:dyDescent="0.25">
      <c r="A12" s="7" t="str">
        <f>CONCATENATE("RCBARG",TEXT(recebArgamassa[[#This Row],[Ordem]],"00000"))</f>
        <v>RCBARG00010</v>
      </c>
      <c r="B12" s="9">
        <v>10</v>
      </c>
      <c r="C12" s="11">
        <v>44882</v>
      </c>
      <c r="D12" s="1" t="s">
        <v>275</v>
      </c>
      <c r="E12" s="16">
        <v>31581</v>
      </c>
      <c r="F12" s="16">
        <v>5482997</v>
      </c>
      <c r="G12" s="17">
        <v>0.30625000000000002</v>
      </c>
      <c r="H12" s="5" t="s">
        <v>16</v>
      </c>
      <c r="I12" s="5"/>
      <c r="K12" s="15">
        <v>4</v>
      </c>
      <c r="L12" s="6">
        <f>SUMIFS(consArgamassa[Consumido (m³)],consArgamassa[RecebID],recebArgamassa[[#This Row],[RecebID]])</f>
        <v>4</v>
      </c>
      <c r="M12" s="18">
        <v>4</v>
      </c>
      <c r="N12" s="1">
        <v>464.75</v>
      </c>
      <c r="O12" s="1" t="s">
        <v>274</v>
      </c>
      <c r="P12" s="12">
        <v>36892</v>
      </c>
    </row>
    <row r="13" spans="1:16" x14ac:dyDescent="0.25">
      <c r="A13" s="7" t="str">
        <f>CONCATENATE("RCBARG",TEXT(recebArgamassa[[#This Row],[Ordem]],"00000"))</f>
        <v>RCBARG00011</v>
      </c>
      <c r="B13" s="9">
        <v>11</v>
      </c>
      <c r="C13" s="11">
        <v>44882</v>
      </c>
      <c r="D13" s="1" t="s">
        <v>275</v>
      </c>
      <c r="E13" s="16">
        <v>31581</v>
      </c>
      <c r="F13" s="16">
        <v>5482997</v>
      </c>
      <c r="G13" s="17">
        <v>0.30625000000000002</v>
      </c>
      <c r="H13" s="5" t="s">
        <v>16</v>
      </c>
      <c r="I13" s="5"/>
      <c r="K13" s="15">
        <v>1</v>
      </c>
      <c r="L13" s="6">
        <f>SUMIFS(consArgamassa[Consumido (m³)],consArgamassa[RecebID],recebArgamassa[[#This Row],[RecebID]])</f>
        <v>1</v>
      </c>
      <c r="M13" s="18">
        <v>1</v>
      </c>
      <c r="N13" s="1">
        <v>464.75</v>
      </c>
      <c r="O13" s="1" t="s">
        <v>274</v>
      </c>
      <c r="P13" s="12">
        <v>36892</v>
      </c>
    </row>
    <row r="14" spans="1:16" x14ac:dyDescent="0.25">
      <c r="A14" s="7" t="str">
        <f>CONCATENATE("RCBARG",TEXT(recebArgamassa[[#This Row],[Ordem]],"00000"))</f>
        <v>RCBARG00012</v>
      </c>
      <c r="B14" s="9">
        <v>12</v>
      </c>
      <c r="C14" s="11">
        <v>44886</v>
      </c>
      <c r="D14" s="1" t="s">
        <v>275</v>
      </c>
      <c r="E14" s="16">
        <v>31620</v>
      </c>
      <c r="F14" s="16">
        <v>5482863</v>
      </c>
      <c r="G14" s="17">
        <v>0.420833333333333</v>
      </c>
      <c r="H14" s="5" t="s">
        <v>17</v>
      </c>
      <c r="I14" s="5">
        <v>58623</v>
      </c>
      <c r="K14" s="15">
        <v>6</v>
      </c>
      <c r="L14" s="6">
        <f>SUMIFS(consArgamassa[Consumido (m³)],consArgamassa[RecebID],recebArgamassa[[#This Row],[RecebID]])</f>
        <v>6</v>
      </c>
      <c r="M14" s="18">
        <v>6</v>
      </c>
      <c r="N14" s="1">
        <v>464.75</v>
      </c>
      <c r="O14" s="1" t="s">
        <v>274</v>
      </c>
      <c r="P14" s="12">
        <v>36892</v>
      </c>
    </row>
    <row r="15" spans="1:16" x14ac:dyDescent="0.25">
      <c r="A15" s="7" t="str">
        <f>CONCATENATE("RCBARG",TEXT(recebArgamassa[[#This Row],[Ordem]],"00000"))</f>
        <v>RCBARG00013</v>
      </c>
      <c r="B15" s="9">
        <v>13</v>
      </c>
      <c r="C15" s="11">
        <v>44887</v>
      </c>
      <c r="D15" s="1" t="s">
        <v>275</v>
      </c>
      <c r="E15" s="16">
        <v>31641</v>
      </c>
      <c r="F15" s="16">
        <v>5482882</v>
      </c>
      <c r="G15" s="17">
        <v>0.41736111111111102</v>
      </c>
      <c r="H15" s="5" t="s">
        <v>15</v>
      </c>
      <c r="I15" s="5">
        <v>58623</v>
      </c>
      <c r="K15" s="15">
        <v>4</v>
      </c>
      <c r="L15" s="6">
        <f>SUMIFS(consArgamassa[Consumido (m³)],consArgamassa[RecebID],recebArgamassa[[#This Row],[RecebID]])</f>
        <v>4</v>
      </c>
      <c r="M15" s="18">
        <v>4</v>
      </c>
      <c r="N15" s="1">
        <v>464.75</v>
      </c>
      <c r="O15" s="1" t="s">
        <v>274</v>
      </c>
      <c r="P15" s="12">
        <v>36892</v>
      </c>
    </row>
    <row r="16" spans="1:16" x14ac:dyDescent="0.25">
      <c r="A16" s="7" t="str">
        <f>CONCATENATE("RCBARG",TEXT(recebArgamassa[[#This Row],[Ordem]],"00000"))</f>
        <v>RCBARG00014</v>
      </c>
      <c r="B16" s="9">
        <v>14</v>
      </c>
      <c r="C16" s="11">
        <v>44887</v>
      </c>
      <c r="D16" s="1" t="s">
        <v>275</v>
      </c>
      <c r="E16" s="16">
        <v>31641</v>
      </c>
      <c r="F16" s="16">
        <v>5482882</v>
      </c>
      <c r="G16" s="17">
        <v>0.41736111111111102</v>
      </c>
      <c r="H16" s="5" t="s">
        <v>15</v>
      </c>
      <c r="I16" s="5">
        <v>58623</v>
      </c>
      <c r="K16" s="15">
        <v>1</v>
      </c>
      <c r="L16" s="6">
        <f>SUMIFS(consArgamassa[Consumido (m³)],consArgamassa[RecebID],recebArgamassa[[#This Row],[RecebID]])</f>
        <v>1</v>
      </c>
      <c r="M16" s="18">
        <v>1</v>
      </c>
      <c r="N16" s="1">
        <v>464.75</v>
      </c>
      <c r="O16" s="1" t="s">
        <v>274</v>
      </c>
      <c r="P16" s="12">
        <v>36892</v>
      </c>
    </row>
    <row r="17" spans="1:16" x14ac:dyDescent="0.25">
      <c r="A17" s="7" t="str">
        <f>CONCATENATE("RCBARG",TEXT(recebArgamassa[[#This Row],[Ordem]],"00000"))</f>
        <v>RCBARG00015</v>
      </c>
      <c r="B17" s="9">
        <v>15</v>
      </c>
      <c r="C17" s="11">
        <v>44889</v>
      </c>
      <c r="D17" s="1" t="s">
        <v>275</v>
      </c>
      <c r="E17" s="16">
        <v>31685</v>
      </c>
      <c r="F17" s="16">
        <v>5482984</v>
      </c>
      <c r="G17" s="17">
        <v>0.30347222222222198</v>
      </c>
      <c r="H17" s="5" t="s">
        <v>16</v>
      </c>
      <c r="I17" s="5">
        <v>58623</v>
      </c>
      <c r="K17" s="15">
        <v>5</v>
      </c>
      <c r="L17" s="6">
        <f>SUMIFS(consArgamassa[Consumido (m³)],consArgamassa[RecebID],recebArgamassa[[#This Row],[RecebID]])</f>
        <v>5</v>
      </c>
      <c r="M17" s="18">
        <v>5</v>
      </c>
      <c r="N17" s="1">
        <v>464.75</v>
      </c>
      <c r="O17" s="1" t="s">
        <v>274</v>
      </c>
      <c r="P17" s="12">
        <v>36892</v>
      </c>
    </row>
    <row r="18" spans="1:16" x14ac:dyDescent="0.25">
      <c r="A18" s="7" t="str">
        <f>CONCATENATE("RCBARG",TEXT(recebArgamassa[[#This Row],[Ordem]],"00000"))</f>
        <v>RCBARG00016</v>
      </c>
      <c r="B18" s="9">
        <v>16</v>
      </c>
      <c r="C18" s="11">
        <v>44893</v>
      </c>
      <c r="D18" s="1" t="s">
        <v>275</v>
      </c>
      <c r="E18" s="16">
        <v>31721</v>
      </c>
      <c r="F18" s="16">
        <v>5482897</v>
      </c>
      <c r="G18" s="17">
        <v>0.32569444444444401</v>
      </c>
      <c r="H18" s="5" t="s">
        <v>19</v>
      </c>
      <c r="I18" s="5">
        <v>58623</v>
      </c>
      <c r="K18" s="15">
        <v>5</v>
      </c>
      <c r="L18" s="6">
        <f>SUMIFS(consArgamassa[Consumido (m³)],consArgamassa[RecebID],recebArgamassa[[#This Row],[RecebID]])</f>
        <v>5</v>
      </c>
      <c r="M18" s="18">
        <v>5</v>
      </c>
      <c r="N18" s="1">
        <v>464.75</v>
      </c>
      <c r="O18" s="1" t="s">
        <v>274</v>
      </c>
      <c r="P18" s="12">
        <v>36892</v>
      </c>
    </row>
    <row r="19" spans="1:16" x14ac:dyDescent="0.25">
      <c r="A19" s="7" t="str">
        <f>CONCATENATE("RCBARG",TEXT(recebArgamassa[[#This Row],[Ordem]],"00000"))</f>
        <v>RCBARG00017</v>
      </c>
      <c r="B19" s="9">
        <v>17</v>
      </c>
      <c r="C19" s="11">
        <v>44893</v>
      </c>
      <c r="D19" s="1" t="s">
        <v>275</v>
      </c>
      <c r="E19" s="16">
        <v>31721</v>
      </c>
      <c r="F19" s="16">
        <v>5482897</v>
      </c>
      <c r="G19" s="17">
        <v>0.32569444444444401</v>
      </c>
      <c r="H19" s="5" t="s">
        <v>19</v>
      </c>
      <c r="I19" s="5">
        <v>58623</v>
      </c>
      <c r="K19" s="15">
        <v>2</v>
      </c>
      <c r="L19" s="6">
        <f>SUMIFS(consArgamassa[Consumido (m³)],consArgamassa[RecebID],recebArgamassa[[#This Row],[RecebID]])</f>
        <v>2</v>
      </c>
      <c r="M19" s="18">
        <v>2</v>
      </c>
      <c r="N19" s="1">
        <v>464.75</v>
      </c>
      <c r="O19" s="1" t="s">
        <v>274</v>
      </c>
      <c r="P19" s="12">
        <v>36892</v>
      </c>
    </row>
    <row r="20" spans="1:16" x14ac:dyDescent="0.25">
      <c r="A20" s="7" t="str">
        <f>CONCATENATE("RCBARG",TEXT(recebArgamassa[[#This Row],[Ordem]],"00000"))</f>
        <v>RCBARG00018</v>
      </c>
      <c r="B20" s="9">
        <v>18</v>
      </c>
      <c r="C20" s="11">
        <v>44896</v>
      </c>
      <c r="D20" s="1" t="s">
        <v>275</v>
      </c>
      <c r="E20" s="16">
        <v>31790</v>
      </c>
      <c r="F20" s="16">
        <v>5482405</v>
      </c>
      <c r="G20" s="17">
        <v>0.41944444444444401</v>
      </c>
      <c r="H20" s="5" t="s">
        <v>16</v>
      </c>
      <c r="I20" s="5">
        <v>58635</v>
      </c>
      <c r="K20" s="15">
        <v>4</v>
      </c>
      <c r="L20" s="6">
        <f>SUMIFS(consArgamassa[Consumido (m³)],consArgamassa[RecebID],recebArgamassa[[#This Row],[RecebID]])</f>
        <v>4</v>
      </c>
      <c r="M20" s="18">
        <v>4</v>
      </c>
      <c r="N20" s="1">
        <v>464.75</v>
      </c>
      <c r="O20" s="1" t="s">
        <v>274</v>
      </c>
      <c r="P20" s="12">
        <v>36892</v>
      </c>
    </row>
    <row r="21" spans="1:16" x14ac:dyDescent="0.25">
      <c r="A21" s="7" t="str">
        <f>CONCATENATE("RCBARG",TEXT(recebArgamassa[[#This Row],[Ordem]],"00000"))</f>
        <v>RCBARG00019</v>
      </c>
      <c r="B21" s="9">
        <v>19</v>
      </c>
      <c r="C21" s="11">
        <v>44896</v>
      </c>
      <c r="D21" s="1" t="s">
        <v>275</v>
      </c>
      <c r="E21" s="16">
        <v>31790</v>
      </c>
      <c r="F21" s="16">
        <v>5482405</v>
      </c>
      <c r="G21" s="17">
        <v>0.41944444444444401</v>
      </c>
      <c r="H21" s="5" t="s">
        <v>16</v>
      </c>
      <c r="I21" s="5">
        <v>58635</v>
      </c>
      <c r="K21" s="15">
        <v>1</v>
      </c>
      <c r="L21" s="6">
        <f>SUMIFS(consArgamassa[Consumido (m³)],consArgamassa[RecebID],recebArgamassa[[#This Row],[RecebID]])</f>
        <v>1</v>
      </c>
      <c r="M21" s="18">
        <v>1</v>
      </c>
      <c r="N21" s="1">
        <v>464.75</v>
      </c>
      <c r="O21" s="1" t="s">
        <v>274</v>
      </c>
      <c r="P21" s="12">
        <v>36892</v>
      </c>
    </row>
    <row r="22" spans="1:16" x14ac:dyDescent="0.25">
      <c r="A22" s="7" t="str">
        <f>CONCATENATE("RCBARG",TEXT(recebArgamassa[[#This Row],[Ordem]],"00000"))</f>
        <v>RCBARG00020</v>
      </c>
      <c r="B22" s="9">
        <v>20</v>
      </c>
      <c r="C22" s="11">
        <v>44900</v>
      </c>
      <c r="D22" s="1" t="s">
        <v>275</v>
      </c>
      <c r="E22" s="16">
        <v>31839</v>
      </c>
      <c r="F22" s="16">
        <v>5482670</v>
      </c>
      <c r="G22" s="17">
        <v>0.42569444444444399</v>
      </c>
      <c r="H22" s="5" t="s">
        <v>19</v>
      </c>
      <c r="I22" s="5">
        <v>58635</v>
      </c>
      <c r="K22" s="15">
        <v>5</v>
      </c>
      <c r="L22" s="6">
        <f>SUMIFS(consArgamassa[Consumido (m³)],consArgamassa[RecebID],recebArgamassa[[#This Row],[RecebID]])</f>
        <v>5</v>
      </c>
      <c r="M22" s="18">
        <v>5</v>
      </c>
      <c r="N22" s="1">
        <v>464.75</v>
      </c>
      <c r="O22" s="1" t="s">
        <v>274</v>
      </c>
      <c r="P22" s="12">
        <v>36892</v>
      </c>
    </row>
    <row r="23" spans="1:16" x14ac:dyDescent="0.25">
      <c r="A23" s="7" t="str">
        <f>CONCATENATE("RCBARG",TEXT(recebArgamassa[[#This Row],[Ordem]],"00000"))</f>
        <v>RCBARG00021</v>
      </c>
      <c r="B23" s="9">
        <v>21</v>
      </c>
      <c r="C23" s="11">
        <v>44902</v>
      </c>
      <c r="D23" s="1" t="s">
        <v>275</v>
      </c>
      <c r="E23" s="16">
        <v>31870</v>
      </c>
      <c r="F23" s="16">
        <v>5482662</v>
      </c>
      <c r="G23" s="17">
        <v>0.41597222222222202</v>
      </c>
      <c r="H23" s="5" t="s">
        <v>11</v>
      </c>
      <c r="I23" s="5">
        <v>58635</v>
      </c>
      <c r="K23" s="15">
        <v>5</v>
      </c>
      <c r="L23" s="6">
        <f>SUMIFS(consArgamassa[Consumido (m³)],consArgamassa[RecebID],recebArgamassa[[#This Row],[RecebID]])</f>
        <v>5</v>
      </c>
      <c r="M23" s="18">
        <v>5</v>
      </c>
      <c r="N23" s="1">
        <v>464.75</v>
      </c>
      <c r="O23" s="1" t="s">
        <v>274</v>
      </c>
      <c r="P23" s="12">
        <v>36892</v>
      </c>
    </row>
    <row r="24" spans="1:16" x14ac:dyDescent="0.25">
      <c r="A24" s="7" t="str">
        <f>CONCATENATE("RCBARG",TEXT(recebArgamassa[[#This Row],[Ordem]],"00000"))</f>
        <v>RCBARG00022</v>
      </c>
      <c r="B24" s="9">
        <v>22</v>
      </c>
      <c r="C24" s="11">
        <v>44907</v>
      </c>
      <c r="D24" s="1" t="s">
        <v>275</v>
      </c>
      <c r="E24" s="16">
        <v>31930</v>
      </c>
      <c r="F24" s="16">
        <v>5482513</v>
      </c>
      <c r="G24" s="17">
        <v>0.40625</v>
      </c>
      <c r="H24" s="5" t="s">
        <v>17</v>
      </c>
      <c r="I24" s="5">
        <v>58750</v>
      </c>
      <c r="K24" s="15">
        <v>4</v>
      </c>
      <c r="L24" s="6">
        <f>SUMIFS(consArgamassa[Consumido (m³)],consArgamassa[RecebID],recebArgamassa[[#This Row],[RecebID]])</f>
        <v>4</v>
      </c>
      <c r="M24" s="18">
        <v>4</v>
      </c>
      <c r="N24" s="1">
        <v>464.75</v>
      </c>
      <c r="O24" s="1" t="s">
        <v>274</v>
      </c>
      <c r="P24" s="12">
        <v>36892</v>
      </c>
    </row>
    <row r="25" spans="1:16" x14ac:dyDescent="0.25">
      <c r="A25" s="7" t="str">
        <f>CONCATENATE("RCBARG",TEXT(recebArgamassa[[#This Row],[Ordem]],"00000"))</f>
        <v>RCBARG00023</v>
      </c>
      <c r="B25" s="9">
        <v>23</v>
      </c>
      <c r="C25" s="11">
        <v>44907</v>
      </c>
      <c r="D25" s="1" t="s">
        <v>275</v>
      </c>
      <c r="E25" s="16">
        <v>31930</v>
      </c>
      <c r="F25" s="16">
        <v>5482513</v>
      </c>
      <c r="G25" s="17">
        <v>0.40625</v>
      </c>
      <c r="H25" s="5" t="s">
        <v>17</v>
      </c>
      <c r="I25" s="5">
        <v>58750</v>
      </c>
      <c r="K25" s="15">
        <v>2</v>
      </c>
      <c r="L25" s="6">
        <f>SUMIFS(consArgamassa[Consumido (m³)],consArgamassa[RecebID],recebArgamassa[[#This Row],[RecebID]])</f>
        <v>2</v>
      </c>
      <c r="M25" s="18">
        <v>2</v>
      </c>
      <c r="N25" s="1">
        <v>464.75</v>
      </c>
      <c r="O25" s="1" t="s">
        <v>274</v>
      </c>
      <c r="P25" s="12">
        <v>36892</v>
      </c>
    </row>
    <row r="26" spans="1:16" x14ac:dyDescent="0.25">
      <c r="A26" s="7" t="str">
        <f>CONCATENATE("RCBARG",TEXT(recebArgamassa[[#This Row],[Ordem]],"00000"))</f>
        <v>RCBARG00024</v>
      </c>
      <c r="B26" s="9">
        <v>24</v>
      </c>
      <c r="C26" s="11">
        <v>44908</v>
      </c>
      <c r="D26" s="1" t="s">
        <v>275</v>
      </c>
      <c r="E26" s="16">
        <v>31951</v>
      </c>
      <c r="F26" s="16">
        <v>5482469</v>
      </c>
      <c r="G26" s="17">
        <v>0.43958333333333299</v>
      </c>
      <c r="H26" s="5" t="s">
        <v>16</v>
      </c>
      <c r="I26" s="5">
        <v>58750</v>
      </c>
      <c r="K26" s="15">
        <v>4</v>
      </c>
      <c r="L26" s="6">
        <f>SUMIFS(consArgamassa[Consumido (m³)],consArgamassa[RecebID],recebArgamassa[[#This Row],[RecebID]])</f>
        <v>4</v>
      </c>
      <c r="M26" s="18">
        <v>4</v>
      </c>
      <c r="N26" s="1">
        <v>464.75</v>
      </c>
      <c r="O26" s="1" t="s">
        <v>274</v>
      </c>
      <c r="P26" s="12">
        <v>36892</v>
      </c>
    </row>
    <row r="27" spans="1:16" x14ac:dyDescent="0.25">
      <c r="A27" s="7" t="str">
        <f>CONCATENATE("RCBARG",TEXT(recebArgamassa[[#This Row],[Ordem]],"00000"))</f>
        <v>RCBARG00025</v>
      </c>
      <c r="B27" s="9">
        <v>25</v>
      </c>
      <c r="C27" s="11">
        <v>44908</v>
      </c>
      <c r="D27" s="1" t="s">
        <v>275</v>
      </c>
      <c r="E27" s="16">
        <v>31951</v>
      </c>
      <c r="F27" s="16">
        <v>5482469</v>
      </c>
      <c r="G27" s="17">
        <v>0.43958333333333299</v>
      </c>
      <c r="H27" s="5" t="s">
        <v>16</v>
      </c>
      <c r="I27" s="5">
        <v>58750</v>
      </c>
      <c r="K27" s="15">
        <v>1</v>
      </c>
      <c r="L27" s="6">
        <f>SUMIFS(consArgamassa[Consumido (m³)],consArgamassa[RecebID],recebArgamassa[[#This Row],[RecebID]])</f>
        <v>1</v>
      </c>
      <c r="M27" s="18">
        <v>1</v>
      </c>
      <c r="N27" s="1">
        <v>464.75</v>
      </c>
      <c r="O27" s="1" t="s">
        <v>274</v>
      </c>
      <c r="P27" s="12">
        <v>36892</v>
      </c>
    </row>
    <row r="28" spans="1:16" x14ac:dyDescent="0.25">
      <c r="A28" s="7" t="str">
        <f>CONCATENATE("RCBARG",TEXT(recebArgamassa[[#This Row],[Ordem]],"00000"))</f>
        <v>RCBARG00026</v>
      </c>
      <c r="B28" s="9">
        <v>26</v>
      </c>
      <c r="C28" s="11">
        <v>44909</v>
      </c>
      <c r="D28" s="1" t="s">
        <v>275</v>
      </c>
      <c r="E28" s="16">
        <v>31976</v>
      </c>
      <c r="F28" s="16">
        <v>5482574</v>
      </c>
      <c r="G28" s="17">
        <v>0.64513888888888904</v>
      </c>
      <c r="H28" s="5" t="s">
        <v>16</v>
      </c>
      <c r="I28" s="5">
        <v>58750</v>
      </c>
      <c r="K28" s="15">
        <v>3</v>
      </c>
      <c r="L28" s="6">
        <f>SUMIFS(consArgamassa[Consumido (m³)],consArgamassa[RecebID],recebArgamassa[[#This Row],[RecebID]])</f>
        <v>3</v>
      </c>
      <c r="M28" s="18">
        <v>3</v>
      </c>
      <c r="N28" s="1">
        <v>464.75</v>
      </c>
      <c r="O28" s="1" t="s">
        <v>274</v>
      </c>
      <c r="P28" s="12">
        <v>36892</v>
      </c>
    </row>
    <row r="29" spans="1:16" x14ac:dyDescent="0.25">
      <c r="A29" s="7" t="str">
        <f>CONCATENATE("RCBARG",TEXT(recebArgamassa[[#This Row],[Ordem]],"00000"))</f>
        <v>RCBARG00027</v>
      </c>
      <c r="B29" s="9">
        <v>27</v>
      </c>
      <c r="C29" s="11">
        <v>44909</v>
      </c>
      <c r="D29" s="1" t="s">
        <v>275</v>
      </c>
      <c r="E29" s="16">
        <v>31976</v>
      </c>
      <c r="F29" s="16">
        <v>5482574</v>
      </c>
      <c r="G29" s="17">
        <v>0.64513888888888904</v>
      </c>
      <c r="H29" s="5" t="s">
        <v>16</v>
      </c>
      <c r="I29" s="5">
        <v>58750</v>
      </c>
      <c r="K29" s="15">
        <v>1</v>
      </c>
      <c r="L29" s="6">
        <f>SUMIFS(consArgamassa[Consumido (m³)],consArgamassa[RecebID],recebArgamassa[[#This Row],[RecebID]])</f>
        <v>1</v>
      </c>
      <c r="M29" s="18">
        <v>1</v>
      </c>
      <c r="N29" s="1">
        <v>464.75</v>
      </c>
      <c r="O29" s="1" t="s">
        <v>274</v>
      </c>
      <c r="P29" s="12">
        <v>36892</v>
      </c>
    </row>
    <row r="30" spans="1:16" x14ac:dyDescent="0.25">
      <c r="A30" s="7" t="str">
        <f>CONCATENATE("RCBARG",TEXT(recebArgamassa[[#This Row],[Ordem]],"00000"))</f>
        <v>RCBARG00028</v>
      </c>
      <c r="B30" s="9">
        <v>28</v>
      </c>
      <c r="C30" s="11">
        <v>44909</v>
      </c>
      <c r="D30" s="1" t="s">
        <v>275</v>
      </c>
      <c r="E30" s="16">
        <v>31976</v>
      </c>
      <c r="F30" s="16">
        <v>5482574</v>
      </c>
      <c r="G30" s="17">
        <v>0.64513888888888904</v>
      </c>
      <c r="H30" s="5" t="s">
        <v>16</v>
      </c>
      <c r="I30" s="5">
        <v>58750</v>
      </c>
      <c r="K30" s="15">
        <v>1</v>
      </c>
      <c r="L30" s="6">
        <f>SUMIFS(consArgamassa[Consumido (m³)],consArgamassa[RecebID],recebArgamassa[[#This Row],[RecebID]])</f>
        <v>1</v>
      </c>
      <c r="M30" s="18">
        <v>1</v>
      </c>
      <c r="N30" s="1">
        <v>464.75</v>
      </c>
      <c r="O30" s="1" t="s">
        <v>274</v>
      </c>
      <c r="P30" s="12">
        <v>36892</v>
      </c>
    </row>
    <row r="31" spans="1:16" x14ac:dyDescent="0.25">
      <c r="A31" s="7" t="str">
        <f>CONCATENATE("RCBARG",TEXT(recebArgamassa[[#This Row],[Ordem]],"00000"))</f>
        <v>RCBARG00029</v>
      </c>
      <c r="B31" s="9">
        <v>29</v>
      </c>
      <c r="C31" s="11">
        <v>44911</v>
      </c>
      <c r="D31" s="1" t="s">
        <v>275</v>
      </c>
      <c r="E31" s="16">
        <v>31998</v>
      </c>
      <c r="F31" s="16">
        <v>5482642</v>
      </c>
      <c r="G31" s="17">
        <v>0.33888888888888902</v>
      </c>
      <c r="H31" s="5" t="s">
        <v>11</v>
      </c>
      <c r="I31" s="5">
        <v>58750</v>
      </c>
      <c r="K31" s="15">
        <v>4</v>
      </c>
      <c r="L31" s="6">
        <f>SUMIFS(consArgamassa[Consumido (m³)],consArgamassa[RecebID],recebArgamassa[[#This Row],[RecebID]])</f>
        <v>4</v>
      </c>
      <c r="M31" s="18">
        <v>4</v>
      </c>
      <c r="N31" s="1">
        <v>464.75</v>
      </c>
      <c r="O31" s="1" t="s">
        <v>274</v>
      </c>
      <c r="P31" s="12">
        <v>36892</v>
      </c>
    </row>
    <row r="32" spans="1:16" x14ac:dyDescent="0.25">
      <c r="A32" s="7" t="str">
        <f>CONCATENATE("RCBARG",TEXT(recebArgamassa[[#This Row],[Ordem]],"00000"))</f>
        <v>RCBARG00030</v>
      </c>
      <c r="B32" s="9">
        <v>30</v>
      </c>
      <c r="C32" s="11">
        <v>44911</v>
      </c>
      <c r="D32" s="1" t="s">
        <v>275</v>
      </c>
      <c r="E32" s="16">
        <v>31998</v>
      </c>
      <c r="F32" s="16">
        <v>5482642</v>
      </c>
      <c r="G32" s="17">
        <v>0.33888888888888902</v>
      </c>
      <c r="H32" s="5" t="s">
        <v>11</v>
      </c>
      <c r="I32" s="5">
        <v>58750</v>
      </c>
      <c r="K32" s="15">
        <v>1</v>
      </c>
      <c r="L32" s="6">
        <f>SUMIFS(consArgamassa[Consumido (m³)],consArgamassa[RecebID],recebArgamassa[[#This Row],[RecebID]])</f>
        <v>1</v>
      </c>
      <c r="M32" s="18">
        <v>1</v>
      </c>
      <c r="N32" s="1">
        <v>464.75</v>
      </c>
      <c r="O32" s="1" t="s">
        <v>274</v>
      </c>
      <c r="P32" s="12">
        <v>36892</v>
      </c>
    </row>
    <row r="33" spans="1:16" x14ac:dyDescent="0.25">
      <c r="A33" s="7" t="str">
        <f>CONCATENATE("RCBARG",TEXT(recebArgamassa[[#This Row],[Ordem]],"00000"))</f>
        <v>RCBARG00031</v>
      </c>
      <c r="B33" s="9">
        <v>31</v>
      </c>
      <c r="C33" s="11">
        <v>44911</v>
      </c>
      <c r="D33" s="1" t="s">
        <v>275</v>
      </c>
      <c r="E33" s="16">
        <v>31998</v>
      </c>
      <c r="F33" s="16">
        <v>5482642</v>
      </c>
      <c r="G33" s="17">
        <v>0.33888888888888902</v>
      </c>
      <c r="H33" s="5" t="s">
        <v>11</v>
      </c>
      <c r="I33" s="5">
        <v>58750</v>
      </c>
      <c r="K33" s="15">
        <v>1</v>
      </c>
      <c r="L33" s="6">
        <f>SUMIFS(consArgamassa[Consumido (m³)],consArgamassa[RecebID],recebArgamassa[[#This Row],[RecebID]])</f>
        <v>1</v>
      </c>
      <c r="M33" s="18">
        <v>1</v>
      </c>
      <c r="N33" s="1">
        <v>464.75</v>
      </c>
      <c r="O33" s="1" t="s">
        <v>274</v>
      </c>
      <c r="P33" s="12">
        <v>36892</v>
      </c>
    </row>
    <row r="34" spans="1:16" x14ac:dyDescent="0.25">
      <c r="A34" s="7" t="str">
        <f>CONCATENATE("RCBARG",TEXT(recebArgamassa[[#This Row],[Ordem]],"00000"))</f>
        <v>RCBARG00032</v>
      </c>
      <c r="B34" s="9">
        <v>32</v>
      </c>
      <c r="C34" s="11">
        <v>44912</v>
      </c>
      <c r="D34" s="1" t="s">
        <v>275</v>
      </c>
      <c r="E34" s="16">
        <v>32021</v>
      </c>
      <c r="F34" s="16">
        <v>5482614</v>
      </c>
      <c r="G34" s="17">
        <v>0.32500000000000001</v>
      </c>
      <c r="H34" s="5" t="s">
        <v>11</v>
      </c>
      <c r="I34" s="5">
        <v>58750</v>
      </c>
      <c r="K34" s="15">
        <v>5</v>
      </c>
      <c r="L34" s="6">
        <f>SUMIFS(consArgamassa[Consumido (m³)],consArgamassa[RecebID],recebArgamassa[[#This Row],[RecebID]])</f>
        <v>5</v>
      </c>
      <c r="M34" s="18">
        <v>5</v>
      </c>
      <c r="N34" s="1">
        <v>464.75</v>
      </c>
      <c r="O34" s="1" t="s">
        <v>274</v>
      </c>
      <c r="P34" s="12">
        <v>36892</v>
      </c>
    </row>
    <row r="35" spans="1:16" x14ac:dyDescent="0.25">
      <c r="A35" s="7" t="str">
        <f>CONCATENATE("RCBARG",TEXT(recebArgamassa[[#This Row],[Ordem]],"00000"))</f>
        <v>RCBARG00033</v>
      </c>
      <c r="B35" s="9">
        <v>33</v>
      </c>
      <c r="C35" s="11">
        <v>44914</v>
      </c>
      <c r="D35" s="1" t="s">
        <v>275</v>
      </c>
      <c r="E35" s="16">
        <v>32041</v>
      </c>
      <c r="F35" s="16">
        <v>5482008</v>
      </c>
      <c r="G35" s="17">
        <v>0.53125</v>
      </c>
      <c r="H35" s="5" t="s">
        <v>19</v>
      </c>
      <c r="I35" s="5">
        <v>58843</v>
      </c>
      <c r="K35" s="15">
        <v>4</v>
      </c>
      <c r="L35" s="6">
        <f>SUMIFS(consArgamassa[Consumido (m³)],consArgamassa[RecebID],recebArgamassa[[#This Row],[RecebID]])</f>
        <v>4</v>
      </c>
      <c r="M35" s="18">
        <v>4</v>
      </c>
      <c r="N35" s="1">
        <v>464.75</v>
      </c>
      <c r="O35" s="1" t="s">
        <v>274</v>
      </c>
      <c r="P35" s="12">
        <v>36892</v>
      </c>
    </row>
    <row r="36" spans="1:16" x14ac:dyDescent="0.25">
      <c r="A36" s="7" t="str">
        <f>CONCATENATE("RCBARG",TEXT(recebArgamassa[[#This Row],[Ordem]],"00000"))</f>
        <v>RCBARG00034</v>
      </c>
      <c r="B36" s="9">
        <v>34</v>
      </c>
      <c r="C36" s="11">
        <v>44914</v>
      </c>
      <c r="D36" s="1" t="s">
        <v>275</v>
      </c>
      <c r="E36" s="16">
        <v>32041</v>
      </c>
      <c r="F36" s="16">
        <v>5482008</v>
      </c>
      <c r="G36" s="17">
        <v>0.53125</v>
      </c>
      <c r="H36" s="5" t="s">
        <v>19</v>
      </c>
      <c r="I36" s="5">
        <v>58843</v>
      </c>
      <c r="K36" s="15">
        <v>2</v>
      </c>
      <c r="L36" s="6">
        <f>SUMIFS(consArgamassa[Consumido (m³)],consArgamassa[RecebID],recebArgamassa[[#This Row],[RecebID]])</f>
        <v>2</v>
      </c>
      <c r="M36" s="18">
        <v>2</v>
      </c>
      <c r="N36" s="1">
        <v>464.75</v>
      </c>
      <c r="O36" s="1" t="s">
        <v>274</v>
      </c>
      <c r="P36" s="12">
        <v>36892</v>
      </c>
    </row>
    <row r="37" spans="1:16" x14ac:dyDescent="0.25">
      <c r="A37" s="7" t="str">
        <f>CONCATENATE("RCBARG",TEXT(recebArgamassa[[#This Row],[Ordem]],"00000"))</f>
        <v>RCBARG00035</v>
      </c>
      <c r="B37" s="9">
        <v>35</v>
      </c>
      <c r="C37" s="11">
        <v>44914</v>
      </c>
      <c r="D37" s="1" t="s">
        <v>275</v>
      </c>
      <c r="E37" s="16">
        <v>32041</v>
      </c>
      <c r="F37" s="16">
        <v>5482008</v>
      </c>
      <c r="G37" s="17">
        <v>0.53125</v>
      </c>
      <c r="H37" s="5" t="s">
        <v>19</v>
      </c>
      <c r="I37" s="5">
        <v>58843</v>
      </c>
      <c r="K37" s="15">
        <v>1</v>
      </c>
      <c r="L37" s="6">
        <f>SUMIFS(consArgamassa[Consumido (m³)],consArgamassa[RecebID],recebArgamassa[[#This Row],[RecebID]])</f>
        <v>1</v>
      </c>
      <c r="M37" s="18">
        <v>1</v>
      </c>
      <c r="N37" s="1">
        <v>464.75</v>
      </c>
      <c r="O37" s="1" t="s">
        <v>274</v>
      </c>
      <c r="P37" s="12">
        <v>36892</v>
      </c>
    </row>
    <row r="38" spans="1:16" x14ac:dyDescent="0.25">
      <c r="A38" s="7" t="str">
        <f>CONCATENATE("RCBARG",TEXT(recebArgamassa[[#This Row],[Ordem]],"00000"))</f>
        <v>RCBARG00036</v>
      </c>
      <c r="B38" s="9">
        <v>36</v>
      </c>
      <c r="C38" s="11">
        <v>44915</v>
      </c>
      <c r="D38" s="1" t="s">
        <v>275</v>
      </c>
      <c r="E38" s="16">
        <v>32065</v>
      </c>
      <c r="F38" s="16">
        <v>5482050</v>
      </c>
      <c r="G38" s="17">
        <v>0.55555555555555602</v>
      </c>
      <c r="H38" s="5" t="s">
        <v>17</v>
      </c>
      <c r="I38" s="5">
        <v>58843</v>
      </c>
      <c r="K38" s="15">
        <v>3</v>
      </c>
      <c r="L38" s="6">
        <f>SUMIFS(consArgamassa[Consumido (m³)],consArgamassa[RecebID],recebArgamassa[[#This Row],[RecebID]])</f>
        <v>3</v>
      </c>
      <c r="M38" s="18">
        <v>3</v>
      </c>
      <c r="N38" s="1">
        <v>464.75</v>
      </c>
      <c r="O38" s="1" t="s">
        <v>274</v>
      </c>
      <c r="P38" s="12">
        <v>36892</v>
      </c>
    </row>
    <row r="39" spans="1:16" x14ac:dyDescent="0.25">
      <c r="A39" s="7" t="str">
        <f>CONCATENATE("RCBARG",TEXT(recebArgamassa[[#This Row],[Ordem]],"00000"))</f>
        <v>RCBARG00037</v>
      </c>
      <c r="B39" s="9">
        <v>37</v>
      </c>
      <c r="C39" s="11">
        <v>44915</v>
      </c>
      <c r="D39" s="1" t="s">
        <v>275</v>
      </c>
      <c r="E39" s="16">
        <v>32065</v>
      </c>
      <c r="F39" s="16">
        <v>5482050</v>
      </c>
      <c r="G39" s="17">
        <v>0.55555555555555602</v>
      </c>
      <c r="H39" s="5" t="s">
        <v>17</v>
      </c>
      <c r="I39" s="5">
        <v>58843</v>
      </c>
      <c r="K39" s="15">
        <v>2</v>
      </c>
      <c r="L39" s="6">
        <f>SUMIFS(consArgamassa[Consumido (m³)],consArgamassa[RecebID],recebArgamassa[[#This Row],[RecebID]])</f>
        <v>2</v>
      </c>
      <c r="M39" s="18">
        <v>2</v>
      </c>
      <c r="N39" s="1">
        <v>464.75</v>
      </c>
      <c r="O39" s="1" t="s">
        <v>274</v>
      </c>
      <c r="P39" s="12">
        <v>36892</v>
      </c>
    </row>
    <row r="40" spans="1:16" x14ac:dyDescent="0.25">
      <c r="A40" s="7" t="str">
        <f>CONCATENATE("RCBARG",TEXT(recebArgamassa[[#This Row],[Ordem]],"00000"))</f>
        <v>RCBARG00038</v>
      </c>
      <c r="B40" s="9">
        <v>38</v>
      </c>
      <c r="C40" s="11">
        <v>44916</v>
      </c>
      <c r="D40" s="1" t="s">
        <v>275</v>
      </c>
      <c r="E40" s="16">
        <v>32088</v>
      </c>
      <c r="F40" s="16">
        <v>5482089</v>
      </c>
      <c r="G40" s="17">
        <v>0.70416666666666705</v>
      </c>
      <c r="H40" s="5" t="s">
        <v>15</v>
      </c>
      <c r="I40" s="5">
        <v>58843</v>
      </c>
      <c r="K40" s="15">
        <v>4</v>
      </c>
      <c r="L40" s="6">
        <f>SUMIFS(consArgamassa[Consumido (m³)],consArgamassa[RecebID],recebArgamassa[[#This Row],[RecebID]])</f>
        <v>4</v>
      </c>
      <c r="M40" s="18">
        <v>4</v>
      </c>
      <c r="N40" s="1">
        <v>464.75</v>
      </c>
      <c r="O40" s="1" t="s">
        <v>274</v>
      </c>
      <c r="P40" s="12">
        <v>36892</v>
      </c>
    </row>
    <row r="41" spans="1:16" x14ac:dyDescent="0.25">
      <c r="A41" s="7" t="str">
        <f>CONCATENATE("RCBARG",TEXT(recebArgamassa[[#This Row],[Ordem]],"00000"))</f>
        <v>RCBARG00039</v>
      </c>
      <c r="B41" s="9">
        <v>39</v>
      </c>
      <c r="C41" s="11">
        <v>44916</v>
      </c>
      <c r="D41" s="1" t="s">
        <v>275</v>
      </c>
      <c r="E41" s="16">
        <v>32088</v>
      </c>
      <c r="F41" s="16">
        <v>5482089</v>
      </c>
      <c r="G41" s="17">
        <v>0.70416666666666705</v>
      </c>
      <c r="H41" s="5" t="s">
        <v>15</v>
      </c>
      <c r="I41" s="5">
        <v>58843</v>
      </c>
      <c r="K41" s="15">
        <v>1</v>
      </c>
      <c r="L41" s="6">
        <f>SUMIFS(consArgamassa[Consumido (m³)],consArgamassa[RecebID],recebArgamassa[[#This Row],[RecebID]])</f>
        <v>1</v>
      </c>
      <c r="M41" s="18">
        <v>1</v>
      </c>
      <c r="N41" s="1">
        <v>464.75</v>
      </c>
      <c r="O41" s="1" t="s">
        <v>274</v>
      </c>
      <c r="P41" s="12">
        <v>36892</v>
      </c>
    </row>
    <row r="42" spans="1:16" x14ac:dyDescent="0.25">
      <c r="A42" s="7" t="str">
        <f>CONCATENATE("RCBARG",TEXT(recebArgamassa[[#This Row],[Ordem]],"00000"))</f>
        <v>RCBARG00040</v>
      </c>
      <c r="B42" s="9">
        <v>40</v>
      </c>
      <c r="C42" s="11">
        <v>44916</v>
      </c>
      <c r="D42" s="1" t="s">
        <v>275</v>
      </c>
      <c r="E42" s="16">
        <v>32088</v>
      </c>
      <c r="F42" s="16">
        <v>5482089</v>
      </c>
      <c r="G42" s="17">
        <v>0.70416666666666705</v>
      </c>
      <c r="H42" s="5" t="s">
        <v>15</v>
      </c>
      <c r="I42" s="5">
        <v>58843</v>
      </c>
      <c r="K42" s="15">
        <v>1</v>
      </c>
      <c r="L42" s="6">
        <f>SUMIFS(consArgamassa[Consumido (m³)],consArgamassa[RecebID],recebArgamassa[[#This Row],[RecebID]])</f>
        <v>1</v>
      </c>
      <c r="M42" s="18">
        <v>1</v>
      </c>
      <c r="N42" s="1">
        <v>464.75</v>
      </c>
      <c r="O42" s="1" t="s">
        <v>274</v>
      </c>
      <c r="P42" s="12">
        <v>36892</v>
      </c>
    </row>
    <row r="43" spans="1:16" x14ac:dyDescent="0.25">
      <c r="A43" s="7" t="str">
        <f>CONCATENATE("RCBARG",TEXT(recebArgamassa[[#This Row],[Ordem]],"00000"))</f>
        <v>RCBARG00041</v>
      </c>
      <c r="B43" s="9">
        <v>41</v>
      </c>
      <c r="C43" s="11">
        <v>44917</v>
      </c>
      <c r="D43" s="1" t="s">
        <v>275</v>
      </c>
      <c r="E43" s="16">
        <v>32107</v>
      </c>
      <c r="F43" s="16">
        <v>5482067</v>
      </c>
      <c r="G43" s="17">
        <v>0.63055555555555598</v>
      </c>
      <c r="H43" s="5" t="s">
        <v>16</v>
      </c>
      <c r="I43" s="5">
        <v>58843</v>
      </c>
      <c r="K43" s="15">
        <v>3</v>
      </c>
      <c r="L43" s="6">
        <f>SUMIFS(consArgamassa[Consumido (m³)],consArgamassa[RecebID],recebArgamassa[[#This Row],[RecebID]])</f>
        <v>3</v>
      </c>
      <c r="M43" s="18">
        <v>3</v>
      </c>
      <c r="N43" s="1">
        <v>464.75</v>
      </c>
      <c r="O43" s="1" t="s">
        <v>274</v>
      </c>
      <c r="P43" s="12">
        <v>36892</v>
      </c>
    </row>
    <row r="44" spans="1:16" x14ac:dyDescent="0.25">
      <c r="A44" s="7" t="str">
        <f>CONCATENATE("RCBARG",TEXT(recebArgamassa[[#This Row],[Ordem]],"00000"))</f>
        <v>RCBARG00042</v>
      </c>
      <c r="B44" s="9">
        <v>42</v>
      </c>
      <c r="C44" s="11">
        <v>44917</v>
      </c>
      <c r="D44" s="1" t="s">
        <v>275</v>
      </c>
      <c r="E44" s="16">
        <v>32107</v>
      </c>
      <c r="F44" s="16">
        <v>5482067</v>
      </c>
      <c r="G44" s="17">
        <v>0.63055555555555598</v>
      </c>
      <c r="H44" s="5" t="s">
        <v>16</v>
      </c>
      <c r="I44" s="5">
        <v>58843</v>
      </c>
      <c r="K44" s="15">
        <v>2</v>
      </c>
      <c r="L44" s="6">
        <f>SUMIFS(consArgamassa[Consumido (m³)],consArgamassa[RecebID],recebArgamassa[[#This Row],[RecebID]])</f>
        <v>2</v>
      </c>
      <c r="M44" s="18">
        <v>2</v>
      </c>
      <c r="N44" s="1">
        <v>464.75</v>
      </c>
      <c r="O44" s="1" t="s">
        <v>274</v>
      </c>
      <c r="P44" s="12">
        <v>36892</v>
      </c>
    </row>
    <row r="45" spans="1:16" x14ac:dyDescent="0.25">
      <c r="A45" s="7" t="str">
        <f>CONCATENATE("RCBARG",TEXT(recebArgamassa[[#This Row],[Ordem]],"00000"))</f>
        <v>RCBARG00043</v>
      </c>
      <c r="B45" s="9">
        <v>43</v>
      </c>
      <c r="C45" s="11">
        <v>44922</v>
      </c>
      <c r="D45" s="1" t="s">
        <v>275</v>
      </c>
      <c r="E45" s="16">
        <v>32154</v>
      </c>
      <c r="F45" s="16">
        <v>5482277</v>
      </c>
      <c r="G45" s="17">
        <v>0.41805555555555601</v>
      </c>
      <c r="H45" s="5" t="s">
        <v>12</v>
      </c>
      <c r="I45" s="5">
        <v>58894</v>
      </c>
      <c r="K45" s="15">
        <v>5</v>
      </c>
      <c r="L45" s="6">
        <f>SUMIFS(consArgamassa[Consumido (m³)],consArgamassa[RecebID],recebArgamassa[[#This Row],[RecebID]])</f>
        <v>5</v>
      </c>
      <c r="M45" s="18">
        <v>5</v>
      </c>
      <c r="N45" s="1">
        <v>464.75</v>
      </c>
      <c r="O45" s="1" t="s">
        <v>274</v>
      </c>
      <c r="P45" s="12">
        <v>36892</v>
      </c>
    </row>
    <row r="46" spans="1:16" x14ac:dyDescent="0.25">
      <c r="A46" s="7" t="str">
        <f>CONCATENATE("RCBARG",TEXT(recebArgamassa[[#This Row],[Ordem]],"00000"))</f>
        <v>RCBARG00044</v>
      </c>
      <c r="B46" s="9">
        <v>44</v>
      </c>
      <c r="C46" s="11">
        <v>44923</v>
      </c>
      <c r="D46" s="1" t="s">
        <v>275</v>
      </c>
      <c r="E46" s="16">
        <v>32185</v>
      </c>
      <c r="F46" s="16">
        <v>5482349</v>
      </c>
      <c r="G46" s="17">
        <v>0.50208333333333299</v>
      </c>
      <c r="H46" s="5" t="s">
        <v>18</v>
      </c>
      <c r="I46" s="5">
        <v>58894</v>
      </c>
      <c r="K46" s="15">
        <v>1</v>
      </c>
      <c r="L46" s="6">
        <f>SUMIFS(consArgamassa[Consumido (m³)],consArgamassa[RecebID],recebArgamassa[[#This Row],[RecebID]])</f>
        <v>1</v>
      </c>
      <c r="M46" s="18">
        <v>1</v>
      </c>
      <c r="N46" s="1">
        <v>464.75</v>
      </c>
      <c r="O46" s="1" t="s">
        <v>274</v>
      </c>
      <c r="P46" s="12">
        <v>36892</v>
      </c>
    </row>
    <row r="47" spans="1:16" x14ac:dyDescent="0.25">
      <c r="A47" s="7" t="str">
        <f>CONCATENATE("RCBARG",TEXT(recebArgamassa[[#This Row],[Ordem]],"00000"))</f>
        <v>RCBARG00045</v>
      </c>
      <c r="B47" s="9">
        <v>45</v>
      </c>
      <c r="C47" s="11">
        <v>44923</v>
      </c>
      <c r="D47" s="1" t="s">
        <v>275</v>
      </c>
      <c r="E47" s="16">
        <v>32185</v>
      </c>
      <c r="F47" s="16">
        <v>5482349</v>
      </c>
      <c r="G47" s="17">
        <v>0.50208333333333299</v>
      </c>
      <c r="H47" s="5" t="s">
        <v>18</v>
      </c>
      <c r="I47" s="5">
        <v>58894</v>
      </c>
      <c r="K47" s="15">
        <v>1</v>
      </c>
      <c r="L47" s="6">
        <f>SUMIFS(consArgamassa[Consumido (m³)],consArgamassa[RecebID],recebArgamassa[[#This Row],[RecebID]])</f>
        <v>1</v>
      </c>
      <c r="M47" s="18">
        <v>1</v>
      </c>
      <c r="N47" s="1">
        <v>464.75</v>
      </c>
      <c r="O47" s="1" t="s">
        <v>274</v>
      </c>
      <c r="P47" s="12">
        <v>36892</v>
      </c>
    </row>
    <row r="48" spans="1:16" x14ac:dyDescent="0.25">
      <c r="A48" s="7" t="str">
        <f>CONCATENATE("RCBARG",TEXT(recebArgamassa[[#This Row],[Ordem]],"00000"))</f>
        <v>RCBARG00046</v>
      </c>
      <c r="B48" s="9">
        <v>46</v>
      </c>
      <c r="C48" s="11">
        <v>44923</v>
      </c>
      <c r="D48" s="1" t="s">
        <v>275</v>
      </c>
      <c r="E48" s="16">
        <v>32185</v>
      </c>
      <c r="F48" s="16">
        <v>5482349</v>
      </c>
      <c r="G48" s="17">
        <v>0.50208333333333299</v>
      </c>
      <c r="H48" s="5" t="s">
        <v>18</v>
      </c>
      <c r="I48" s="5">
        <v>58894</v>
      </c>
      <c r="K48" s="15">
        <v>5</v>
      </c>
      <c r="L48" s="6">
        <f>SUMIFS(consArgamassa[Consumido (m³)],consArgamassa[RecebID],recebArgamassa[[#This Row],[RecebID]])</f>
        <v>5</v>
      </c>
      <c r="M48" s="18">
        <v>5</v>
      </c>
      <c r="N48" s="1">
        <v>464.75</v>
      </c>
      <c r="O48" s="1" t="s">
        <v>274</v>
      </c>
      <c r="P48" s="12">
        <v>36892</v>
      </c>
    </row>
    <row r="49" spans="1:16" x14ac:dyDescent="0.25">
      <c r="A49" s="7" t="str">
        <f>CONCATENATE("RCBARG",TEXT(recebArgamassa[[#This Row],[Ordem]],"00000"))</f>
        <v>RCBARG00047</v>
      </c>
      <c r="B49" s="9">
        <v>47</v>
      </c>
      <c r="C49" s="11">
        <v>44924</v>
      </c>
      <c r="D49" s="1" t="s">
        <v>275</v>
      </c>
      <c r="E49" s="16">
        <v>32203</v>
      </c>
      <c r="F49" s="16">
        <v>5482305</v>
      </c>
      <c r="G49" s="17">
        <v>0.391666666666667</v>
      </c>
      <c r="H49" s="5" t="s">
        <v>16</v>
      </c>
      <c r="I49" s="5">
        <v>58894</v>
      </c>
      <c r="K49" s="15">
        <v>2</v>
      </c>
      <c r="L49" s="6">
        <f>SUMIFS(consArgamassa[Consumido (m³)],consArgamassa[RecebID],recebArgamassa[[#This Row],[RecebID]])</f>
        <v>2</v>
      </c>
      <c r="M49" s="18">
        <v>2</v>
      </c>
      <c r="N49" s="1">
        <v>464.75</v>
      </c>
      <c r="O49" s="1" t="s">
        <v>274</v>
      </c>
      <c r="P49" s="12">
        <v>36892</v>
      </c>
    </row>
    <row r="50" spans="1:16" x14ac:dyDescent="0.25">
      <c r="A50" s="7" t="str">
        <f>CONCATENATE("RCBARG",TEXT(recebArgamassa[[#This Row],[Ordem]],"00000"))</f>
        <v>RCBARG00048</v>
      </c>
      <c r="B50" s="9">
        <v>48</v>
      </c>
      <c r="C50" s="11">
        <v>44924</v>
      </c>
      <c r="D50" s="1" t="s">
        <v>275</v>
      </c>
      <c r="E50" s="16">
        <v>32203</v>
      </c>
      <c r="F50" s="16">
        <v>5482305</v>
      </c>
      <c r="G50" s="17">
        <v>0.391666666666667</v>
      </c>
      <c r="H50" s="5" t="s">
        <v>16</v>
      </c>
      <c r="I50" s="5">
        <v>58894</v>
      </c>
      <c r="K50" s="15">
        <v>2</v>
      </c>
      <c r="L50" s="6">
        <f>SUMIFS(consArgamassa[Consumido (m³)],consArgamassa[RecebID],recebArgamassa[[#This Row],[RecebID]])</f>
        <v>2</v>
      </c>
      <c r="M50" s="18">
        <v>2</v>
      </c>
      <c r="N50" s="1">
        <v>464.75</v>
      </c>
      <c r="O50" s="1" t="s">
        <v>274</v>
      </c>
      <c r="P50" s="12">
        <v>36892</v>
      </c>
    </row>
    <row r="51" spans="1:16" x14ac:dyDescent="0.25">
      <c r="A51" s="7" t="str">
        <f>CONCATENATE("RCBARG",TEXT(recebArgamassa[[#This Row],[Ordem]],"00000"))</f>
        <v>RCBARG00049</v>
      </c>
      <c r="B51" s="9">
        <v>49</v>
      </c>
      <c r="C51" s="11">
        <v>44924</v>
      </c>
      <c r="D51" s="1" t="s">
        <v>275</v>
      </c>
      <c r="E51" s="16">
        <v>32203</v>
      </c>
      <c r="F51" s="16">
        <v>5482305</v>
      </c>
      <c r="G51" s="17">
        <v>0.391666666666667</v>
      </c>
      <c r="H51" s="5" t="s">
        <v>16</v>
      </c>
      <c r="I51" s="5">
        <v>58894</v>
      </c>
      <c r="K51" s="15">
        <v>2</v>
      </c>
      <c r="L51" s="6">
        <f>SUMIFS(consArgamassa[Consumido (m³)],consArgamassa[RecebID],recebArgamassa[[#This Row],[RecebID]])</f>
        <v>2</v>
      </c>
      <c r="M51" s="18">
        <v>2</v>
      </c>
      <c r="N51" s="1">
        <v>464.75</v>
      </c>
      <c r="O51" s="1" t="s">
        <v>274</v>
      </c>
      <c r="P51" s="12">
        <v>36892</v>
      </c>
    </row>
    <row r="52" spans="1:16" x14ac:dyDescent="0.25">
      <c r="A52" s="7" t="str">
        <f>CONCATENATE("RCBARG",TEXT(recebArgamassa[[#This Row],[Ordem]],"00000"))</f>
        <v>RCBARG00050</v>
      </c>
      <c r="B52" s="9">
        <v>50</v>
      </c>
      <c r="C52" s="11">
        <v>44925</v>
      </c>
      <c r="D52" s="1" t="s">
        <v>275</v>
      </c>
      <c r="E52" s="16">
        <v>32218</v>
      </c>
      <c r="F52" s="16">
        <v>5482336</v>
      </c>
      <c r="G52" s="17">
        <v>0.34166666666666701</v>
      </c>
      <c r="H52" s="5" t="s">
        <v>14</v>
      </c>
      <c r="I52" s="5">
        <v>58894</v>
      </c>
      <c r="K52" s="15">
        <v>3</v>
      </c>
      <c r="L52" s="6">
        <f>SUMIFS(consArgamassa[Consumido (m³)],consArgamassa[RecebID],recebArgamassa[[#This Row],[RecebID]])</f>
        <v>3</v>
      </c>
      <c r="M52" s="18">
        <v>3</v>
      </c>
      <c r="N52" s="1">
        <v>464.75</v>
      </c>
      <c r="O52" s="1" t="s">
        <v>274</v>
      </c>
      <c r="P52" s="12">
        <v>36892</v>
      </c>
    </row>
    <row r="53" spans="1:16" x14ac:dyDescent="0.25">
      <c r="A53" s="7" t="str">
        <f>CONCATENATE("RCBARG",TEXT(recebArgamassa[[#This Row],[Ordem]],"00000"))</f>
        <v>RCBARG00051</v>
      </c>
      <c r="B53" s="9">
        <v>51</v>
      </c>
      <c r="C53" s="11">
        <v>44925</v>
      </c>
      <c r="D53" s="1" t="s">
        <v>275</v>
      </c>
      <c r="E53" s="16">
        <v>32218</v>
      </c>
      <c r="F53" s="16">
        <v>5482336</v>
      </c>
      <c r="G53" s="17">
        <v>0.34166666666666701</v>
      </c>
      <c r="H53" s="5" t="s">
        <v>14</v>
      </c>
      <c r="I53" s="5">
        <v>58894</v>
      </c>
      <c r="K53" s="15">
        <v>1</v>
      </c>
      <c r="L53" s="6">
        <f>SUMIFS(consArgamassa[Consumido (m³)],consArgamassa[RecebID],recebArgamassa[[#This Row],[RecebID]])</f>
        <v>1</v>
      </c>
      <c r="M53" s="18">
        <v>1</v>
      </c>
      <c r="N53" s="1">
        <v>464.75</v>
      </c>
      <c r="O53" s="1" t="s">
        <v>274</v>
      </c>
      <c r="P53" s="12">
        <v>36892</v>
      </c>
    </row>
    <row r="54" spans="1:16" x14ac:dyDescent="0.25">
      <c r="A54" s="7" t="str">
        <f>CONCATENATE("RCBARG",TEXT(recebArgamassa[[#This Row],[Ordem]],"00000"))</f>
        <v>RCBARG00052</v>
      </c>
      <c r="B54" s="9">
        <v>52</v>
      </c>
      <c r="C54" s="11">
        <v>44925</v>
      </c>
      <c r="D54" s="1" t="s">
        <v>275</v>
      </c>
      <c r="E54" s="16">
        <v>32218</v>
      </c>
      <c r="F54" s="16">
        <v>5482336</v>
      </c>
      <c r="G54" s="17">
        <v>0.34166666666666701</v>
      </c>
      <c r="H54" s="5" t="s">
        <v>14</v>
      </c>
      <c r="I54" s="5">
        <v>58894</v>
      </c>
      <c r="K54" s="15">
        <v>1</v>
      </c>
      <c r="L54" s="6">
        <f>SUMIFS(consArgamassa[Consumido (m³)],consArgamassa[RecebID],recebArgamassa[[#This Row],[RecebID]])</f>
        <v>1</v>
      </c>
      <c r="M54" s="18">
        <v>1</v>
      </c>
      <c r="N54" s="1">
        <v>464.75</v>
      </c>
      <c r="O54" s="1" t="s">
        <v>274</v>
      </c>
      <c r="P54" s="12">
        <v>36892</v>
      </c>
    </row>
    <row r="55" spans="1:16" x14ac:dyDescent="0.25">
      <c r="A55" s="7" t="str">
        <f>CONCATENATE("RCBARG",TEXT(recebArgamassa[[#This Row],[Ordem]],"00000"))</f>
        <v>RCBARG00053</v>
      </c>
      <c r="B55" s="9">
        <v>53</v>
      </c>
      <c r="C55" s="11">
        <v>44929</v>
      </c>
      <c r="D55" s="1" t="s">
        <v>275</v>
      </c>
      <c r="E55" s="16">
        <v>32261</v>
      </c>
      <c r="F55" s="16">
        <v>5482201</v>
      </c>
      <c r="G55" s="17">
        <v>0.39930555555555602</v>
      </c>
      <c r="H55" s="5" t="s">
        <v>17</v>
      </c>
      <c r="I55" s="5">
        <v>59014</v>
      </c>
      <c r="K55" s="15">
        <v>1.5</v>
      </c>
      <c r="L55" s="6">
        <f>SUMIFS(consArgamassa[Consumido (m³)],consArgamassa[RecebID],recebArgamassa[[#This Row],[RecebID]])</f>
        <v>1.5</v>
      </c>
      <c r="M55" s="18">
        <v>1.5</v>
      </c>
      <c r="N55" s="1">
        <v>464.75</v>
      </c>
      <c r="O55" s="1" t="s">
        <v>274</v>
      </c>
      <c r="P55" s="12">
        <v>36892</v>
      </c>
    </row>
    <row r="56" spans="1:16" x14ac:dyDescent="0.25">
      <c r="A56" s="7" t="str">
        <f>CONCATENATE("RCBARG",TEXT(recebArgamassa[[#This Row],[Ordem]],"00000"))</f>
        <v>RCBARG00054</v>
      </c>
      <c r="B56" s="9">
        <v>54</v>
      </c>
      <c r="C56" s="11">
        <v>44929</v>
      </c>
      <c r="D56" s="1" t="s">
        <v>275</v>
      </c>
      <c r="E56" s="16">
        <v>32261</v>
      </c>
      <c r="F56" s="16">
        <v>5482201</v>
      </c>
      <c r="G56" s="17">
        <v>0.39930555555555602</v>
      </c>
      <c r="H56" s="5" t="s">
        <v>17</v>
      </c>
      <c r="I56" s="5">
        <v>59014</v>
      </c>
      <c r="K56" s="15">
        <v>2.5</v>
      </c>
      <c r="L56" s="6">
        <f>SUMIFS(consArgamassa[Consumido (m³)],consArgamassa[RecebID],recebArgamassa[[#This Row],[RecebID]])</f>
        <v>2.5</v>
      </c>
      <c r="M56" s="18">
        <v>2.5</v>
      </c>
      <c r="N56" s="1">
        <v>464.75</v>
      </c>
      <c r="O56" s="1" t="s">
        <v>274</v>
      </c>
      <c r="P56" s="12">
        <v>36892</v>
      </c>
    </row>
    <row r="57" spans="1:16" x14ac:dyDescent="0.25">
      <c r="A57" s="7" t="str">
        <f>CONCATENATE("RCBARG",TEXT(recebArgamassa[[#This Row],[Ordem]],"00000"))</f>
        <v>RCBARG00055</v>
      </c>
      <c r="B57" s="9">
        <v>55</v>
      </c>
      <c r="C57" s="11">
        <v>44929</v>
      </c>
      <c r="D57" s="1" t="s">
        <v>275</v>
      </c>
      <c r="E57" s="16">
        <v>32261</v>
      </c>
      <c r="F57" s="16">
        <v>5482201</v>
      </c>
      <c r="G57" s="17">
        <v>0.39930555555555602</v>
      </c>
      <c r="H57" s="5" t="s">
        <v>17</v>
      </c>
      <c r="I57" s="5">
        <v>59014</v>
      </c>
      <c r="K57" s="15">
        <v>1.5</v>
      </c>
      <c r="L57" s="6">
        <f>SUMIFS(consArgamassa[Consumido (m³)],consArgamassa[RecebID],recebArgamassa[[#This Row],[RecebID]])</f>
        <v>1.5</v>
      </c>
      <c r="M57" s="18">
        <v>1.5</v>
      </c>
      <c r="N57" s="1">
        <v>464.75</v>
      </c>
      <c r="O57" s="1" t="s">
        <v>274</v>
      </c>
      <c r="P57" s="12">
        <v>36892</v>
      </c>
    </row>
    <row r="58" spans="1:16" x14ac:dyDescent="0.25">
      <c r="A58" s="7" t="str">
        <f>CONCATENATE("RCBARG",TEXT(recebArgamassa[[#This Row],[Ordem]],"00000"))</f>
        <v>RCBARG00056</v>
      </c>
      <c r="B58" s="9">
        <v>56</v>
      </c>
      <c r="C58" s="11">
        <v>44929</v>
      </c>
      <c r="D58" s="1" t="s">
        <v>275</v>
      </c>
      <c r="E58" s="16">
        <v>32261</v>
      </c>
      <c r="F58" s="16">
        <v>5482201</v>
      </c>
      <c r="G58" s="17">
        <v>0.39930555555555602</v>
      </c>
      <c r="H58" s="5" t="s">
        <v>17</v>
      </c>
      <c r="I58" s="5">
        <v>59014</v>
      </c>
      <c r="K58" s="15">
        <v>1.5</v>
      </c>
      <c r="L58" s="6">
        <f>SUMIFS(consArgamassa[Consumido (m³)],consArgamassa[RecebID],recebArgamassa[[#This Row],[RecebID]])</f>
        <v>1.5</v>
      </c>
      <c r="M58" s="18">
        <v>1.5</v>
      </c>
      <c r="N58" s="1">
        <v>464.75</v>
      </c>
      <c r="O58" s="1" t="s">
        <v>274</v>
      </c>
      <c r="P58" s="12">
        <v>36892</v>
      </c>
    </row>
    <row r="59" spans="1:16" x14ac:dyDescent="0.25">
      <c r="A59" s="7" t="str">
        <f>CONCATENATE("RCBARG",TEXT(recebArgamassa[[#This Row],[Ordem]],"00000"))</f>
        <v>RCBARG00057</v>
      </c>
      <c r="B59" s="9">
        <v>57</v>
      </c>
      <c r="C59" s="11">
        <v>44930</v>
      </c>
      <c r="D59" s="1" t="s">
        <v>275</v>
      </c>
      <c r="E59" s="16">
        <v>32279</v>
      </c>
      <c r="F59" s="16">
        <v>5452242</v>
      </c>
      <c r="G59" s="17">
        <v>0.4375</v>
      </c>
      <c r="H59" s="5" t="s">
        <v>11</v>
      </c>
      <c r="I59" s="5">
        <v>59014</v>
      </c>
      <c r="K59" s="15">
        <v>3</v>
      </c>
      <c r="L59" s="6">
        <f>SUMIFS(consArgamassa[Consumido (m³)],consArgamassa[RecebID],recebArgamassa[[#This Row],[RecebID]])</f>
        <v>3</v>
      </c>
      <c r="M59" s="18">
        <v>3</v>
      </c>
      <c r="N59" s="1">
        <v>464.75</v>
      </c>
      <c r="O59" s="1" t="s">
        <v>274</v>
      </c>
      <c r="P59" s="12">
        <v>36892</v>
      </c>
    </row>
    <row r="60" spans="1:16" x14ac:dyDescent="0.25">
      <c r="A60" s="7" t="str">
        <f>CONCATENATE("RCBARG",TEXT(recebArgamassa[[#This Row],[Ordem]],"00000"))</f>
        <v>RCBARG00058</v>
      </c>
      <c r="B60" s="9">
        <v>58</v>
      </c>
      <c r="C60" s="11">
        <v>44930</v>
      </c>
      <c r="D60" s="1" t="s">
        <v>275</v>
      </c>
      <c r="E60" s="16">
        <v>32279</v>
      </c>
      <c r="F60" s="16">
        <v>5452242</v>
      </c>
      <c r="G60" s="17">
        <v>0.4375</v>
      </c>
      <c r="H60" s="5" t="s">
        <v>11</v>
      </c>
      <c r="I60" s="5">
        <v>59014</v>
      </c>
      <c r="K60" s="15">
        <v>2</v>
      </c>
      <c r="L60" s="6">
        <f>SUMIFS(consArgamassa[Consumido (m³)],consArgamassa[RecebID],recebArgamassa[[#This Row],[RecebID]])</f>
        <v>2</v>
      </c>
      <c r="M60" s="18">
        <v>2</v>
      </c>
      <c r="N60" s="1">
        <v>464.75</v>
      </c>
      <c r="O60" s="1" t="s">
        <v>274</v>
      </c>
      <c r="P60" s="12">
        <v>36892</v>
      </c>
    </row>
    <row r="61" spans="1:16" x14ac:dyDescent="0.25">
      <c r="A61" s="7" t="str">
        <f>CONCATENATE("RCBARG",TEXT(recebArgamassa[[#This Row],[Ordem]],"00000"))</f>
        <v>RCBARG00059</v>
      </c>
      <c r="B61" s="9">
        <v>59</v>
      </c>
      <c r="C61" s="11">
        <v>44931</v>
      </c>
      <c r="D61" s="1" t="s">
        <v>275</v>
      </c>
      <c r="E61" s="16">
        <v>32291</v>
      </c>
      <c r="F61" s="16">
        <v>5482129</v>
      </c>
      <c r="G61" s="17">
        <v>0.34652777777777799</v>
      </c>
      <c r="H61" s="5" t="s">
        <v>13</v>
      </c>
      <c r="I61" s="5">
        <v>59014</v>
      </c>
      <c r="K61" s="15">
        <v>5</v>
      </c>
      <c r="L61" s="6">
        <f>SUMIFS(consArgamassa[Consumido (m³)],consArgamassa[RecebID],recebArgamassa[[#This Row],[RecebID]])</f>
        <v>5</v>
      </c>
      <c r="M61" s="18">
        <v>5</v>
      </c>
      <c r="N61" s="1">
        <v>464.75</v>
      </c>
      <c r="O61" s="1" t="s">
        <v>274</v>
      </c>
      <c r="P61" s="12">
        <v>36892</v>
      </c>
    </row>
    <row r="62" spans="1:16" x14ac:dyDescent="0.25">
      <c r="A62" s="7" t="str">
        <f>CONCATENATE("RCBARG",TEXT(recebArgamassa[[#This Row],[Ordem]],"00000"))</f>
        <v>RCBARG00060</v>
      </c>
      <c r="B62" s="9">
        <v>60</v>
      </c>
      <c r="C62" s="11">
        <v>44931</v>
      </c>
      <c r="D62" s="1" t="s">
        <v>275</v>
      </c>
      <c r="E62" s="16">
        <v>32302</v>
      </c>
      <c r="F62" s="16">
        <v>5482136</v>
      </c>
      <c r="G62" s="17">
        <v>0.60902777777777795</v>
      </c>
      <c r="H62" s="5" t="s">
        <v>21</v>
      </c>
      <c r="I62" s="5">
        <v>59014</v>
      </c>
      <c r="K62" s="15">
        <v>3</v>
      </c>
      <c r="L62" s="6">
        <f>SUMIFS(consArgamassa[Consumido (m³)],consArgamassa[RecebID],recebArgamassa[[#This Row],[RecebID]])</f>
        <v>3</v>
      </c>
      <c r="M62" s="18">
        <v>3</v>
      </c>
      <c r="N62" s="1">
        <v>464.75</v>
      </c>
      <c r="O62" s="1" t="s">
        <v>274</v>
      </c>
      <c r="P62" s="12">
        <v>36892</v>
      </c>
    </row>
    <row r="63" spans="1:16" x14ac:dyDescent="0.25">
      <c r="A63" s="7" t="str">
        <f>CONCATENATE("RCBARG",TEXT(recebArgamassa[[#This Row],[Ordem]],"00000"))</f>
        <v>RCBARG00061</v>
      </c>
      <c r="B63" s="9">
        <v>61</v>
      </c>
      <c r="C63" s="11">
        <v>44931</v>
      </c>
      <c r="D63" s="1" t="s">
        <v>275</v>
      </c>
      <c r="E63" s="16">
        <v>32302</v>
      </c>
      <c r="F63" s="16">
        <v>5482136</v>
      </c>
      <c r="G63" s="17">
        <v>0.60902777777777795</v>
      </c>
      <c r="H63" s="5" t="s">
        <v>21</v>
      </c>
      <c r="I63" s="5">
        <v>59014</v>
      </c>
      <c r="K63" s="15">
        <v>2</v>
      </c>
      <c r="L63" s="6">
        <f>SUMIFS(consArgamassa[Consumido (m³)],consArgamassa[RecebID],recebArgamassa[[#This Row],[RecebID]])</f>
        <v>2</v>
      </c>
      <c r="M63" s="18">
        <v>2</v>
      </c>
      <c r="N63" s="1">
        <v>464.75</v>
      </c>
      <c r="O63" s="1" t="s">
        <v>274</v>
      </c>
      <c r="P63" s="12">
        <v>36892</v>
      </c>
    </row>
    <row r="64" spans="1:16" x14ac:dyDescent="0.25">
      <c r="A64" s="7" t="str">
        <f>CONCATENATE("RCBARG",TEXT(recebArgamassa[[#This Row],[Ordem]],"00000"))</f>
        <v>RCBARG00062</v>
      </c>
      <c r="B64" s="9">
        <v>62</v>
      </c>
      <c r="C64" s="11">
        <v>44935</v>
      </c>
      <c r="D64" s="1" t="s">
        <v>275</v>
      </c>
      <c r="E64" s="16">
        <v>32339</v>
      </c>
      <c r="F64" s="16">
        <v>5484815</v>
      </c>
      <c r="G64" s="17">
        <v>0.33055555555555599</v>
      </c>
      <c r="H64" s="5" t="s">
        <v>17</v>
      </c>
      <c r="I64" s="5">
        <v>59084</v>
      </c>
      <c r="K64" s="15">
        <v>3</v>
      </c>
      <c r="L64" s="6">
        <f>SUMIFS(consArgamassa[Consumido (m³)],consArgamassa[RecebID],recebArgamassa[[#This Row],[RecebID]])</f>
        <v>3</v>
      </c>
      <c r="M64" s="18">
        <v>3</v>
      </c>
      <c r="N64" s="1">
        <v>464.75</v>
      </c>
      <c r="O64" s="1" t="s">
        <v>274</v>
      </c>
      <c r="P64" s="12">
        <v>36892</v>
      </c>
    </row>
    <row r="65" spans="1:16" x14ac:dyDescent="0.25">
      <c r="A65" s="7" t="str">
        <f>CONCATENATE("RCBARG",TEXT(recebArgamassa[[#This Row],[Ordem]],"00000"))</f>
        <v>RCBARG00063</v>
      </c>
      <c r="B65" s="9">
        <v>63</v>
      </c>
      <c r="C65" s="11">
        <v>44935</v>
      </c>
      <c r="D65" s="1" t="s">
        <v>275</v>
      </c>
      <c r="E65" s="16">
        <v>32339</v>
      </c>
      <c r="F65" s="16">
        <v>5484815</v>
      </c>
      <c r="G65" s="17">
        <v>0.33055555555555599</v>
      </c>
      <c r="H65" s="5" t="s">
        <v>17</v>
      </c>
      <c r="I65" s="5">
        <v>59084</v>
      </c>
      <c r="K65" s="15">
        <v>2</v>
      </c>
      <c r="L65" s="6">
        <f>SUMIFS(consArgamassa[Consumido (m³)],consArgamassa[RecebID],recebArgamassa[[#This Row],[RecebID]])</f>
        <v>2</v>
      </c>
      <c r="M65" s="18">
        <v>2</v>
      </c>
      <c r="N65" s="1">
        <v>464.75</v>
      </c>
      <c r="O65" s="1" t="s">
        <v>274</v>
      </c>
      <c r="P65" s="12">
        <v>36892</v>
      </c>
    </row>
    <row r="66" spans="1:16" x14ac:dyDescent="0.25">
      <c r="A66" s="7" t="str">
        <f>CONCATENATE("RCBARG",TEXT(recebArgamassa[[#This Row],[Ordem]],"00000"))</f>
        <v>RCBARG00064</v>
      </c>
      <c r="B66" s="9">
        <v>64</v>
      </c>
      <c r="C66" s="11">
        <v>44936</v>
      </c>
      <c r="D66" s="1" t="s">
        <v>275</v>
      </c>
      <c r="E66" s="16">
        <v>32367</v>
      </c>
      <c r="F66" s="16">
        <v>5484716</v>
      </c>
      <c r="G66" s="17">
        <v>0.61458333333333304</v>
      </c>
      <c r="H66" s="5" t="s">
        <v>12</v>
      </c>
      <c r="I66" s="5">
        <v>59084</v>
      </c>
      <c r="K66" s="15">
        <v>3</v>
      </c>
      <c r="L66" s="6">
        <f>SUMIFS(consArgamassa[Consumido (m³)],consArgamassa[RecebID],recebArgamassa[[#This Row],[RecebID]])</f>
        <v>3</v>
      </c>
      <c r="M66" s="18">
        <v>3</v>
      </c>
      <c r="N66" s="1">
        <v>464.75</v>
      </c>
      <c r="O66" s="1" t="s">
        <v>274</v>
      </c>
      <c r="P66" s="12">
        <v>36892</v>
      </c>
    </row>
    <row r="67" spans="1:16" x14ac:dyDescent="0.25">
      <c r="A67" s="7" t="str">
        <f>CONCATENATE("RCBARG",TEXT(recebArgamassa[[#This Row],[Ordem]],"00000"))</f>
        <v>RCBARG00065</v>
      </c>
      <c r="B67" s="9">
        <v>65</v>
      </c>
      <c r="C67" s="11">
        <v>44936</v>
      </c>
      <c r="D67" s="1" t="s">
        <v>275</v>
      </c>
      <c r="E67" s="16">
        <v>32367</v>
      </c>
      <c r="F67" s="16">
        <v>5484716</v>
      </c>
      <c r="G67" s="17">
        <v>0.61458333333333304</v>
      </c>
      <c r="H67" s="5" t="s">
        <v>12</v>
      </c>
      <c r="I67" s="5">
        <v>59084</v>
      </c>
      <c r="K67" s="15">
        <v>1</v>
      </c>
      <c r="L67" s="6">
        <f>SUMIFS(consArgamassa[Consumido (m³)],consArgamassa[RecebID],recebArgamassa[[#This Row],[RecebID]])</f>
        <v>1</v>
      </c>
      <c r="M67" s="18">
        <v>1</v>
      </c>
      <c r="N67" s="1">
        <v>464.75</v>
      </c>
      <c r="O67" s="1" t="s">
        <v>274</v>
      </c>
      <c r="P67" s="12">
        <v>36892</v>
      </c>
    </row>
    <row r="68" spans="1:16" x14ac:dyDescent="0.25">
      <c r="A68" s="7" t="str">
        <f>CONCATENATE("RCBARG",TEXT(recebArgamassa[[#This Row],[Ordem]],"00000"))</f>
        <v>RCBARG00066</v>
      </c>
      <c r="B68" s="9">
        <v>66</v>
      </c>
      <c r="C68" s="11">
        <v>44936</v>
      </c>
      <c r="D68" s="1" t="s">
        <v>275</v>
      </c>
      <c r="E68" s="16">
        <v>32367</v>
      </c>
      <c r="F68" s="16">
        <v>5484716</v>
      </c>
      <c r="G68" s="17">
        <v>0.61458333333333304</v>
      </c>
      <c r="H68" s="5" t="s">
        <v>12</v>
      </c>
      <c r="I68" s="5">
        <v>59084</v>
      </c>
      <c r="K68" s="15">
        <v>1</v>
      </c>
      <c r="L68" s="6">
        <f>SUMIFS(consArgamassa[Consumido (m³)],consArgamassa[RecebID],recebArgamassa[[#This Row],[RecebID]])</f>
        <v>1</v>
      </c>
      <c r="M68" s="18">
        <v>1</v>
      </c>
      <c r="N68" s="1">
        <v>464.75</v>
      </c>
      <c r="O68" s="1" t="s">
        <v>274</v>
      </c>
      <c r="P68" s="12">
        <v>36892</v>
      </c>
    </row>
    <row r="69" spans="1:16" x14ac:dyDescent="0.25">
      <c r="A69" s="7" t="str">
        <f>CONCATENATE("RCBARG",TEXT(recebArgamassa[[#This Row],[Ordem]],"00000"))</f>
        <v>RCBARG00067</v>
      </c>
      <c r="B69" s="9">
        <v>67</v>
      </c>
      <c r="C69" s="11">
        <v>44944</v>
      </c>
      <c r="D69" s="1" t="s">
        <v>275</v>
      </c>
      <c r="E69" s="16">
        <v>32398</v>
      </c>
      <c r="F69" s="16">
        <v>5484731</v>
      </c>
      <c r="G69" s="17">
        <v>0.43263888888888902</v>
      </c>
      <c r="H69" s="5" t="s">
        <v>15</v>
      </c>
      <c r="I69" s="5">
        <v>59158</v>
      </c>
      <c r="K69" s="15">
        <v>6</v>
      </c>
      <c r="L69" s="6">
        <f>SUMIFS(consArgamassa[Consumido (m³)],consArgamassa[RecebID],recebArgamassa[[#This Row],[RecebID]])</f>
        <v>6</v>
      </c>
      <c r="M69" s="18">
        <v>6</v>
      </c>
      <c r="N69" s="1">
        <v>464.75</v>
      </c>
      <c r="O69" s="1" t="s">
        <v>274</v>
      </c>
      <c r="P69" s="12">
        <v>36892</v>
      </c>
    </row>
    <row r="70" spans="1:16" x14ac:dyDescent="0.25">
      <c r="A70" s="7" t="str">
        <f>CONCATENATE("RCBARG",TEXT(recebArgamassa[[#This Row],[Ordem]],"00000"))</f>
        <v>RCBARG00068</v>
      </c>
      <c r="B70" s="9">
        <v>68</v>
      </c>
      <c r="C70" s="11">
        <v>44946</v>
      </c>
      <c r="D70" s="1" t="s">
        <v>275</v>
      </c>
      <c r="E70" s="16">
        <v>32512</v>
      </c>
      <c r="F70" s="16">
        <v>5484859</v>
      </c>
      <c r="G70" s="17">
        <v>0.34791666666666698</v>
      </c>
      <c r="H70" s="5" t="s">
        <v>13</v>
      </c>
      <c r="I70" s="5">
        <v>59158</v>
      </c>
      <c r="K70" s="15">
        <v>6</v>
      </c>
      <c r="L70" s="6">
        <f>SUMIFS(consArgamassa[Consumido (m³)],consArgamassa[RecebID],recebArgamassa[[#This Row],[RecebID]])</f>
        <v>6</v>
      </c>
      <c r="M70" s="18">
        <v>6</v>
      </c>
      <c r="N70" s="1">
        <v>464.75</v>
      </c>
      <c r="O70" s="1" t="s">
        <v>274</v>
      </c>
      <c r="P70" s="12">
        <v>36892</v>
      </c>
    </row>
    <row r="71" spans="1:16" x14ac:dyDescent="0.25">
      <c r="A71" s="7" t="str">
        <f>CONCATENATE("RCBARG",TEXT(recebArgamassa[[#This Row],[Ordem]],"00000"))</f>
        <v>RCBARG00069</v>
      </c>
      <c r="B71" s="9">
        <v>69</v>
      </c>
      <c r="C71" s="11">
        <v>44949</v>
      </c>
      <c r="D71" s="1" t="s">
        <v>275</v>
      </c>
      <c r="E71" s="16">
        <v>32534</v>
      </c>
      <c r="F71" s="16">
        <v>5484872</v>
      </c>
      <c r="G71" s="17">
        <v>0.49437500000000001</v>
      </c>
      <c r="H71" s="5" t="s">
        <v>13</v>
      </c>
      <c r="I71" s="5">
        <v>59216</v>
      </c>
      <c r="K71" s="15">
        <v>1</v>
      </c>
      <c r="L71" s="6">
        <f>SUMIFS(consArgamassa[Consumido (m³)],consArgamassa[RecebID],recebArgamassa[[#This Row],[RecebID]])</f>
        <v>1</v>
      </c>
      <c r="M71" s="18">
        <v>1</v>
      </c>
      <c r="N71" s="1">
        <v>464.75</v>
      </c>
      <c r="O71" s="1" t="s">
        <v>274</v>
      </c>
      <c r="P71" s="12">
        <v>36892</v>
      </c>
    </row>
    <row r="72" spans="1:16" x14ac:dyDescent="0.25">
      <c r="A72" s="7" t="str">
        <f>CONCATENATE("RCBARG",TEXT(recebArgamassa[[#This Row],[Ordem]],"00000"))</f>
        <v>RCBARG00070</v>
      </c>
      <c r="B72" s="9">
        <v>70</v>
      </c>
      <c r="C72" s="11">
        <v>44949</v>
      </c>
      <c r="D72" s="1" t="s">
        <v>275</v>
      </c>
      <c r="E72" s="16">
        <v>32534</v>
      </c>
      <c r="F72" s="16">
        <v>5484872</v>
      </c>
      <c r="G72" s="17">
        <v>0.49437500000000001</v>
      </c>
      <c r="H72" s="5" t="s">
        <v>13</v>
      </c>
      <c r="I72" s="5">
        <v>59216</v>
      </c>
      <c r="K72" s="15">
        <v>2</v>
      </c>
      <c r="L72" s="6">
        <f>SUMIFS(consArgamassa[Consumido (m³)],consArgamassa[RecebID],recebArgamassa[[#This Row],[RecebID]])</f>
        <v>2</v>
      </c>
      <c r="M72" s="18">
        <v>2</v>
      </c>
      <c r="N72" s="1">
        <v>464.75</v>
      </c>
      <c r="O72" s="1" t="s">
        <v>274</v>
      </c>
      <c r="P72" s="12">
        <v>36892</v>
      </c>
    </row>
    <row r="73" spans="1:16" x14ac:dyDescent="0.25">
      <c r="A73" s="7" t="str">
        <f>CONCATENATE("RCBARG",TEXT(recebArgamassa[[#This Row],[Ordem]],"00000"))</f>
        <v>RCBARG00071</v>
      </c>
      <c r="B73" s="9">
        <v>71</v>
      </c>
      <c r="C73" s="11">
        <v>44949</v>
      </c>
      <c r="D73" s="1" t="s">
        <v>275</v>
      </c>
      <c r="E73" s="16">
        <v>32534</v>
      </c>
      <c r="F73" s="16">
        <v>5484872</v>
      </c>
      <c r="G73" s="17">
        <v>0.49437500000000001</v>
      </c>
      <c r="H73" s="5" t="s">
        <v>13</v>
      </c>
      <c r="I73" s="5">
        <v>59216</v>
      </c>
      <c r="K73" s="15">
        <v>4</v>
      </c>
      <c r="L73" s="6">
        <f>SUMIFS(consArgamassa[Consumido (m³)],consArgamassa[RecebID],recebArgamassa[[#This Row],[RecebID]])</f>
        <v>4</v>
      </c>
      <c r="M73" s="18">
        <v>4</v>
      </c>
      <c r="N73" s="1">
        <v>464.75</v>
      </c>
      <c r="O73" s="1" t="s">
        <v>274</v>
      </c>
      <c r="P73" s="12">
        <v>36892</v>
      </c>
    </row>
    <row r="74" spans="1:16" x14ac:dyDescent="0.25">
      <c r="A74" s="7" t="str">
        <f>CONCATENATE("RCBARG",TEXT(recebArgamassa[[#This Row],[Ordem]],"00000"))</f>
        <v>RCBARG00072</v>
      </c>
      <c r="B74" s="9">
        <v>72</v>
      </c>
      <c r="C74" s="11">
        <v>44951</v>
      </c>
      <c r="D74" s="1" t="s">
        <v>275</v>
      </c>
      <c r="E74" s="16">
        <v>32555</v>
      </c>
      <c r="F74" s="16">
        <v>5484748</v>
      </c>
      <c r="G74" s="17">
        <v>0.38611111111111102</v>
      </c>
      <c r="H74" s="5" t="s">
        <v>17</v>
      </c>
      <c r="I74" s="5">
        <v>59216</v>
      </c>
      <c r="K74" s="15">
        <v>6</v>
      </c>
      <c r="L74" s="6">
        <f>SUMIFS(consArgamassa[Consumido (m³)],consArgamassa[RecebID],recebArgamassa[[#This Row],[RecebID]])</f>
        <v>6</v>
      </c>
      <c r="M74" s="18">
        <v>6</v>
      </c>
      <c r="N74" s="1">
        <v>464.75</v>
      </c>
      <c r="O74" s="1" t="s">
        <v>274</v>
      </c>
      <c r="P74" s="12">
        <v>36892</v>
      </c>
    </row>
    <row r="75" spans="1:16" x14ac:dyDescent="0.25">
      <c r="A75" s="7" t="str">
        <f>CONCATENATE("RCBARG",TEXT(recebArgamassa[[#This Row],[Ordem]],"00000"))</f>
        <v>RCBARG00073</v>
      </c>
      <c r="B75" s="9">
        <v>73</v>
      </c>
      <c r="C75" s="11">
        <v>44952</v>
      </c>
      <c r="D75" s="1" t="s">
        <v>275</v>
      </c>
      <c r="E75" s="16">
        <v>32566</v>
      </c>
      <c r="F75" s="16">
        <v>5484742</v>
      </c>
      <c r="G75" s="17">
        <v>0.51597222222222205</v>
      </c>
      <c r="H75" s="5" t="s">
        <v>11</v>
      </c>
      <c r="I75" s="5">
        <v>59216</v>
      </c>
      <c r="K75" s="15">
        <v>5</v>
      </c>
      <c r="L75" s="6">
        <f>SUMIFS(consArgamassa[Consumido (m³)],consArgamassa[RecebID],recebArgamassa[[#This Row],[RecebID]])</f>
        <v>5</v>
      </c>
      <c r="M75" s="18">
        <v>5</v>
      </c>
      <c r="N75" s="1">
        <v>464.75</v>
      </c>
      <c r="O75" s="1" t="s">
        <v>274</v>
      </c>
      <c r="P75" s="12">
        <v>36892</v>
      </c>
    </row>
    <row r="76" spans="1:16" x14ac:dyDescent="0.25">
      <c r="A76" s="7" t="str">
        <f>CONCATENATE("RCBARG",TEXT(recebArgamassa[[#This Row],[Ordem]],"00000"))</f>
        <v>RCBARG00074</v>
      </c>
      <c r="B76" s="9">
        <v>74</v>
      </c>
      <c r="C76" s="11">
        <v>44953</v>
      </c>
      <c r="D76" s="1" t="s">
        <v>275</v>
      </c>
      <c r="E76" s="16">
        <v>32578</v>
      </c>
      <c r="F76" s="16">
        <v>5484761</v>
      </c>
      <c r="G76" s="17">
        <v>0.39374999999999999</v>
      </c>
      <c r="H76" s="5" t="s">
        <v>14</v>
      </c>
      <c r="I76" s="5">
        <v>59216</v>
      </c>
      <c r="K76" s="15">
        <v>2</v>
      </c>
      <c r="L76" s="6">
        <f>SUMIFS(consArgamassa[Consumido (m³)],consArgamassa[RecebID],recebArgamassa[[#This Row],[RecebID]])</f>
        <v>2</v>
      </c>
      <c r="M76" s="18">
        <v>2</v>
      </c>
      <c r="N76" s="1">
        <v>464.75</v>
      </c>
      <c r="O76" s="1" t="s">
        <v>274</v>
      </c>
      <c r="P76" s="12">
        <v>36892</v>
      </c>
    </row>
    <row r="77" spans="1:16" x14ac:dyDescent="0.25">
      <c r="A77" s="7" t="str">
        <f>CONCATENATE("RCBARG",TEXT(recebArgamassa[[#This Row],[Ordem]],"00000"))</f>
        <v>RCBARG00075</v>
      </c>
      <c r="B77" s="9">
        <v>75</v>
      </c>
      <c r="C77" s="11">
        <v>44953</v>
      </c>
      <c r="D77" s="1" t="s">
        <v>275</v>
      </c>
      <c r="E77" s="16">
        <v>32578</v>
      </c>
      <c r="F77" s="16">
        <v>5484761</v>
      </c>
      <c r="G77" s="17">
        <v>0.39374999999999999</v>
      </c>
      <c r="H77" s="5" t="s">
        <v>14</v>
      </c>
      <c r="I77" s="5">
        <v>59216</v>
      </c>
      <c r="K77" s="15">
        <v>4</v>
      </c>
      <c r="L77" s="6">
        <f>SUMIFS(consArgamassa[Consumido (m³)],consArgamassa[RecebID],recebArgamassa[[#This Row],[RecebID]])</f>
        <v>4</v>
      </c>
      <c r="M77" s="18">
        <v>4</v>
      </c>
      <c r="N77" s="1">
        <v>464.75</v>
      </c>
      <c r="O77" s="1" t="s">
        <v>274</v>
      </c>
      <c r="P77" s="12">
        <v>36892</v>
      </c>
    </row>
    <row r="78" spans="1:16" x14ac:dyDescent="0.25">
      <c r="A78" s="7" t="str">
        <f>CONCATENATE("RCBARG",TEXT(recebArgamassa[[#This Row],[Ordem]],"00000"))</f>
        <v>RCBARG00076</v>
      </c>
      <c r="B78" s="9">
        <v>76</v>
      </c>
      <c r="C78" s="11">
        <v>44956</v>
      </c>
      <c r="D78" s="1" t="s">
        <v>275</v>
      </c>
      <c r="E78" s="16">
        <v>32596</v>
      </c>
      <c r="F78" s="16">
        <v>5484408</v>
      </c>
      <c r="G78" s="17">
        <v>0.34930555555555598</v>
      </c>
      <c r="H78" s="5" t="s">
        <v>11</v>
      </c>
      <c r="I78" s="5">
        <v>59216</v>
      </c>
      <c r="K78" s="15">
        <v>4</v>
      </c>
      <c r="L78" s="6">
        <f>SUMIFS(consArgamassa[Consumido (m³)],consArgamassa[RecebID],recebArgamassa[[#This Row],[RecebID]])</f>
        <v>4</v>
      </c>
      <c r="M78" s="18">
        <v>4</v>
      </c>
      <c r="N78" s="1">
        <v>464.75</v>
      </c>
      <c r="O78" s="1" t="s">
        <v>274</v>
      </c>
      <c r="P78" s="12">
        <v>36892</v>
      </c>
    </row>
    <row r="79" spans="1:16" x14ac:dyDescent="0.25">
      <c r="A79" s="7" t="str">
        <f>CONCATENATE("RCBARG",TEXT(recebArgamassa[[#This Row],[Ordem]],"00000"))</f>
        <v>RCBARG00077</v>
      </c>
      <c r="B79" s="9">
        <v>77</v>
      </c>
      <c r="C79" s="11">
        <v>44956</v>
      </c>
      <c r="D79" s="1" t="s">
        <v>275</v>
      </c>
      <c r="E79" s="16">
        <v>32596</v>
      </c>
      <c r="F79" s="16">
        <v>5484408</v>
      </c>
      <c r="G79" s="17">
        <v>0.34930555555555598</v>
      </c>
      <c r="H79" s="5" t="s">
        <v>11</v>
      </c>
      <c r="I79" s="5">
        <v>59216</v>
      </c>
      <c r="K79" s="15">
        <v>2</v>
      </c>
      <c r="L79" s="6">
        <f>SUMIFS(consArgamassa[Consumido (m³)],consArgamassa[RecebID],recebArgamassa[[#This Row],[RecebID]])</f>
        <v>2</v>
      </c>
      <c r="M79" s="18">
        <v>2</v>
      </c>
      <c r="N79" s="1">
        <v>464.75</v>
      </c>
      <c r="O79" s="1" t="s">
        <v>274</v>
      </c>
      <c r="P79" s="12">
        <v>36892</v>
      </c>
    </row>
    <row r="80" spans="1:16" x14ac:dyDescent="0.25">
      <c r="A80" s="7" t="str">
        <f>CONCATENATE("RCBARG",TEXT(recebArgamassa[[#This Row],[Ordem]],"00000"))</f>
        <v>RCBARG00078</v>
      </c>
      <c r="B80" s="9">
        <v>78</v>
      </c>
      <c r="C80" s="11">
        <v>44956</v>
      </c>
      <c r="D80" s="1" t="s">
        <v>275</v>
      </c>
      <c r="E80" s="16">
        <v>32596</v>
      </c>
      <c r="F80" s="16">
        <v>5484408</v>
      </c>
      <c r="G80" s="17">
        <v>0.34930555555555598</v>
      </c>
      <c r="H80" s="5" t="s">
        <v>11</v>
      </c>
      <c r="I80" s="5">
        <v>59216</v>
      </c>
      <c r="K80" s="15">
        <v>1</v>
      </c>
      <c r="L80" s="6">
        <f>SUMIFS(consArgamassa[Consumido (m³)],consArgamassa[RecebID],recebArgamassa[[#This Row],[RecebID]])</f>
        <v>1</v>
      </c>
      <c r="M80" s="18">
        <v>1</v>
      </c>
      <c r="N80" s="1">
        <v>464.75</v>
      </c>
      <c r="O80" s="1" t="s">
        <v>274</v>
      </c>
      <c r="P80" s="12">
        <v>36892</v>
      </c>
    </row>
    <row r="81" spans="1:16" x14ac:dyDescent="0.25">
      <c r="A81" s="7" t="str">
        <f>CONCATENATE("RCBARG",TEXT(recebArgamassa[[#This Row],[Ordem]],"00000"))</f>
        <v>RCBARG00079</v>
      </c>
      <c r="B81" s="9">
        <v>79</v>
      </c>
      <c r="C81" s="11">
        <v>44957</v>
      </c>
      <c r="D81" s="1" t="s">
        <v>275</v>
      </c>
      <c r="E81" s="16">
        <v>32611</v>
      </c>
      <c r="F81" s="16">
        <v>5484375</v>
      </c>
      <c r="G81" s="17">
        <v>0.55138888888888904</v>
      </c>
      <c r="H81" s="5" t="s">
        <v>14</v>
      </c>
      <c r="I81" s="5">
        <v>59216</v>
      </c>
      <c r="K81" s="15">
        <v>4</v>
      </c>
      <c r="L81" s="6">
        <f>SUMIFS(consArgamassa[Consumido (m³)],consArgamassa[RecebID],recebArgamassa[[#This Row],[RecebID]])</f>
        <v>4</v>
      </c>
      <c r="M81" s="18">
        <v>4</v>
      </c>
      <c r="N81" s="1">
        <v>464.75</v>
      </c>
      <c r="O81" s="1" t="s">
        <v>274</v>
      </c>
      <c r="P81" s="12">
        <v>36892</v>
      </c>
    </row>
    <row r="82" spans="1:16" x14ac:dyDescent="0.25">
      <c r="A82" s="7" t="str">
        <f>CONCATENATE("RCBARG",TEXT(recebArgamassa[[#This Row],[Ordem]],"00000"))</f>
        <v>RCBARG00080</v>
      </c>
      <c r="B82" s="9">
        <v>80</v>
      </c>
      <c r="C82" s="11">
        <v>44957</v>
      </c>
      <c r="D82" s="1" t="s">
        <v>275</v>
      </c>
      <c r="E82" s="16">
        <v>32611</v>
      </c>
      <c r="F82" s="16">
        <v>5484375</v>
      </c>
      <c r="G82" s="17">
        <v>0.55138888888888904</v>
      </c>
      <c r="H82" s="5" t="s">
        <v>14</v>
      </c>
      <c r="I82" s="5">
        <v>59216</v>
      </c>
      <c r="K82" s="15">
        <v>1</v>
      </c>
      <c r="L82" s="6">
        <f>SUMIFS(consArgamassa[Consumido (m³)],consArgamassa[RecebID],recebArgamassa[[#This Row],[RecebID]])</f>
        <v>1</v>
      </c>
      <c r="M82" s="18">
        <v>1</v>
      </c>
      <c r="N82" s="1">
        <v>464.75</v>
      </c>
      <c r="O82" s="1" t="s">
        <v>274</v>
      </c>
      <c r="P82" s="12">
        <v>36892</v>
      </c>
    </row>
    <row r="83" spans="1:16" x14ac:dyDescent="0.25">
      <c r="A83" s="7" t="str">
        <f>CONCATENATE("RCBARG",TEXT(recebArgamassa[[#This Row],[Ordem]],"00000"))</f>
        <v>RCBARG00081</v>
      </c>
      <c r="B83" s="9">
        <v>81</v>
      </c>
      <c r="C83" s="11">
        <v>44958</v>
      </c>
      <c r="D83" s="1" t="s">
        <v>275</v>
      </c>
      <c r="E83" s="16">
        <v>32624</v>
      </c>
      <c r="F83" s="16">
        <v>5484381</v>
      </c>
      <c r="G83" s="17">
        <v>0.62986111111111098</v>
      </c>
      <c r="H83" s="5" t="s">
        <v>11</v>
      </c>
      <c r="I83" s="5">
        <v>59266</v>
      </c>
      <c r="K83" s="15">
        <v>4</v>
      </c>
      <c r="L83" s="6">
        <f>SUMIFS(consArgamassa[Consumido (m³)],consArgamassa[RecebID],recebArgamassa[[#This Row],[RecebID]])</f>
        <v>4</v>
      </c>
      <c r="M83" s="18">
        <v>4</v>
      </c>
      <c r="N83" s="1">
        <v>464.75</v>
      </c>
      <c r="O83" s="1" t="s">
        <v>274</v>
      </c>
      <c r="P83" s="12">
        <v>36892</v>
      </c>
    </row>
    <row r="84" spans="1:16" x14ac:dyDescent="0.25">
      <c r="A84" s="7" t="str">
        <f>CONCATENATE("RCBARG",TEXT(recebArgamassa[[#This Row],[Ordem]],"00000"))</f>
        <v>RCBARG00082</v>
      </c>
      <c r="B84" s="9">
        <v>82</v>
      </c>
      <c r="C84" s="11">
        <v>44958</v>
      </c>
      <c r="D84" s="1" t="s">
        <v>275</v>
      </c>
      <c r="E84" s="16">
        <v>32624</v>
      </c>
      <c r="F84" s="16">
        <v>5484381</v>
      </c>
      <c r="G84" s="17">
        <v>0.62986111111111098</v>
      </c>
      <c r="H84" s="5" t="s">
        <v>11</v>
      </c>
      <c r="I84" s="5">
        <v>59266</v>
      </c>
      <c r="K84" s="15">
        <v>1</v>
      </c>
      <c r="L84" s="6">
        <f>SUMIFS(consArgamassa[Consumido (m³)],consArgamassa[RecebID],recebArgamassa[[#This Row],[RecebID]])</f>
        <v>1</v>
      </c>
      <c r="M84" s="18">
        <v>1</v>
      </c>
      <c r="N84" s="1">
        <v>464.75</v>
      </c>
      <c r="O84" s="1" t="s">
        <v>274</v>
      </c>
      <c r="P84" s="12">
        <v>36892</v>
      </c>
    </row>
    <row r="85" spans="1:16" x14ac:dyDescent="0.25">
      <c r="A85" s="7" t="str">
        <f>CONCATENATE("RCBARG",TEXT(recebArgamassa[[#This Row],[Ordem]],"00000"))</f>
        <v>RCBARG00083</v>
      </c>
      <c r="B85" s="9">
        <v>83</v>
      </c>
      <c r="C85" s="11">
        <v>44959</v>
      </c>
      <c r="D85" s="1" t="s">
        <v>275</v>
      </c>
      <c r="E85" s="16">
        <v>32632</v>
      </c>
      <c r="F85" s="16">
        <v>5484425</v>
      </c>
      <c r="G85" s="17">
        <v>0.39583333333333298</v>
      </c>
      <c r="H85" s="5" t="s">
        <v>12</v>
      </c>
      <c r="I85" s="5">
        <v>59266</v>
      </c>
      <c r="K85" s="15">
        <v>3</v>
      </c>
      <c r="L85" s="6">
        <f>SUMIFS(consArgamassa[Consumido (m³)],consArgamassa[RecebID],recebArgamassa[[#This Row],[RecebID]])</f>
        <v>3</v>
      </c>
      <c r="M85" s="18">
        <v>3</v>
      </c>
      <c r="N85" s="1">
        <v>464.75</v>
      </c>
      <c r="O85" s="1" t="s">
        <v>274</v>
      </c>
      <c r="P85" s="12">
        <v>36892</v>
      </c>
    </row>
    <row r="86" spans="1:16" x14ac:dyDescent="0.25">
      <c r="A86" s="7" t="str">
        <f>CONCATENATE("RCBARG",TEXT(recebArgamassa[[#This Row],[Ordem]],"00000"))</f>
        <v>RCBARG00084</v>
      </c>
      <c r="B86" s="9">
        <v>84</v>
      </c>
      <c r="C86" s="11">
        <v>44959</v>
      </c>
      <c r="D86" s="1" t="s">
        <v>275</v>
      </c>
      <c r="E86" s="16">
        <v>32632</v>
      </c>
      <c r="F86" s="16">
        <v>5484425</v>
      </c>
      <c r="G86" s="17">
        <v>0.39583333333333298</v>
      </c>
      <c r="H86" s="5" t="s">
        <v>12</v>
      </c>
      <c r="I86" s="5">
        <v>59266</v>
      </c>
      <c r="K86" s="15">
        <v>2</v>
      </c>
      <c r="L86" s="6">
        <f>SUMIFS(consArgamassa[Consumido (m³)],consArgamassa[RecebID],recebArgamassa[[#This Row],[RecebID]])</f>
        <v>2</v>
      </c>
      <c r="M86" s="18">
        <v>2</v>
      </c>
      <c r="N86" s="1">
        <v>464.75</v>
      </c>
      <c r="O86" s="1" t="s">
        <v>274</v>
      </c>
      <c r="P86" s="12">
        <v>36892</v>
      </c>
    </row>
    <row r="87" spans="1:16" x14ac:dyDescent="0.25">
      <c r="A87" s="7" t="str">
        <f>CONCATENATE("RCBARG",TEXT(recebArgamassa[[#This Row],[Ordem]],"00000"))</f>
        <v>RCBARG00085</v>
      </c>
      <c r="B87" s="9">
        <v>85</v>
      </c>
      <c r="C87" s="11">
        <v>44960</v>
      </c>
      <c r="D87" s="1" t="s">
        <v>275</v>
      </c>
      <c r="E87" s="16">
        <v>32657</v>
      </c>
      <c r="F87" s="16">
        <v>5484442</v>
      </c>
      <c r="G87" s="17">
        <v>0.54166666666666696</v>
      </c>
      <c r="H87" s="5" t="s">
        <v>13</v>
      </c>
      <c r="I87" s="5">
        <v>59266</v>
      </c>
      <c r="K87" s="15">
        <v>5</v>
      </c>
      <c r="L87" s="6">
        <f>SUMIFS(consArgamassa[Consumido (m³)],consArgamassa[RecebID],recebArgamassa[[#This Row],[RecebID]])</f>
        <v>5</v>
      </c>
      <c r="M87" s="18">
        <v>5</v>
      </c>
      <c r="N87" s="1">
        <v>464.75</v>
      </c>
      <c r="O87" s="1" t="s">
        <v>274</v>
      </c>
      <c r="P87" s="12">
        <v>36892</v>
      </c>
    </row>
    <row r="88" spans="1:16" x14ac:dyDescent="0.25">
      <c r="A88" s="7" t="str">
        <f>CONCATENATE("RCBARG",TEXT(recebArgamassa[[#This Row],[Ordem]],"00000"))</f>
        <v>RCBARG00086</v>
      </c>
      <c r="B88" s="9">
        <v>86</v>
      </c>
      <c r="C88" s="11">
        <v>44963</v>
      </c>
      <c r="D88" s="1" t="s">
        <v>275</v>
      </c>
      <c r="E88" s="16">
        <v>32680</v>
      </c>
      <c r="F88" s="16">
        <v>5484690</v>
      </c>
      <c r="G88" s="17">
        <v>0.46041666666666697</v>
      </c>
      <c r="H88" s="5" t="s">
        <v>11</v>
      </c>
      <c r="I88" s="5">
        <v>59335</v>
      </c>
      <c r="K88" s="15">
        <v>5</v>
      </c>
      <c r="L88" s="6">
        <f>SUMIFS(consArgamassa[Consumido (m³)],consArgamassa[RecebID],recebArgamassa[[#This Row],[RecebID]])</f>
        <v>5</v>
      </c>
      <c r="M88" s="18">
        <v>5</v>
      </c>
      <c r="N88" s="1">
        <v>464.75</v>
      </c>
      <c r="O88" s="1" t="s">
        <v>274</v>
      </c>
      <c r="P88" s="12">
        <v>36892</v>
      </c>
    </row>
    <row r="89" spans="1:16" x14ac:dyDescent="0.25">
      <c r="A89" s="7" t="str">
        <f>CONCATENATE("RCBARG",TEXT(recebArgamassa[[#This Row],[Ordem]],"00000"))</f>
        <v>RCBARG00087</v>
      </c>
      <c r="B89" s="9">
        <v>87</v>
      </c>
      <c r="C89" s="11">
        <v>44963</v>
      </c>
      <c r="D89" s="1" t="s">
        <v>275</v>
      </c>
      <c r="E89" s="16">
        <v>32680</v>
      </c>
      <c r="F89" s="16">
        <v>5484690</v>
      </c>
      <c r="G89" s="17">
        <v>0.46041666666666697</v>
      </c>
      <c r="H89" s="5" t="s">
        <v>11</v>
      </c>
      <c r="I89" s="5">
        <v>59335</v>
      </c>
      <c r="K89" s="15">
        <v>1</v>
      </c>
      <c r="L89" s="6">
        <f>SUMIFS(consArgamassa[Consumido (m³)],consArgamassa[RecebID],recebArgamassa[[#This Row],[RecebID]])</f>
        <v>1</v>
      </c>
      <c r="M89" s="18">
        <v>1</v>
      </c>
      <c r="N89" s="1">
        <v>464.75</v>
      </c>
      <c r="O89" s="1" t="s">
        <v>274</v>
      </c>
      <c r="P89" s="12">
        <v>36892</v>
      </c>
    </row>
    <row r="90" spans="1:16" x14ac:dyDescent="0.25">
      <c r="A90" s="7" t="str">
        <f>CONCATENATE("RCBARG",TEXT(recebArgamassa[[#This Row],[Ordem]],"00000"))</f>
        <v>RCBARG00088</v>
      </c>
      <c r="B90" s="9">
        <v>88</v>
      </c>
      <c r="C90" s="11">
        <v>44963</v>
      </c>
      <c r="D90" s="1" t="s">
        <v>275</v>
      </c>
      <c r="E90" s="16">
        <v>32680</v>
      </c>
      <c r="F90" s="16">
        <v>5484690</v>
      </c>
      <c r="G90" s="17">
        <v>0.46041666666666697</v>
      </c>
      <c r="H90" s="5" t="s">
        <v>11</v>
      </c>
      <c r="I90" s="5">
        <v>59335</v>
      </c>
      <c r="K90" s="15">
        <v>1</v>
      </c>
      <c r="L90" s="6">
        <f>SUMIFS(consArgamassa[Consumido (m³)],consArgamassa[RecebID],recebArgamassa[[#This Row],[RecebID]])</f>
        <v>1</v>
      </c>
      <c r="M90" s="18">
        <v>1</v>
      </c>
      <c r="N90" s="1">
        <v>464.75</v>
      </c>
      <c r="O90" s="1" t="s">
        <v>274</v>
      </c>
      <c r="P90" s="12">
        <v>36892</v>
      </c>
    </row>
    <row r="91" spans="1:16" x14ac:dyDescent="0.25">
      <c r="A91" s="7" t="str">
        <f>CONCATENATE("RCBARG",TEXT(recebArgamassa[[#This Row],[Ordem]],"00000"))</f>
        <v>RCBARG00089</v>
      </c>
      <c r="B91" s="9">
        <v>89</v>
      </c>
      <c r="C91" s="11">
        <v>44964</v>
      </c>
      <c r="D91" s="1" t="s">
        <v>275</v>
      </c>
      <c r="E91" s="16">
        <v>32690</v>
      </c>
      <c r="F91" s="16">
        <v>5484707</v>
      </c>
      <c r="G91" s="17">
        <v>0.32361111111111102</v>
      </c>
      <c r="H91" s="5" t="s">
        <v>14</v>
      </c>
      <c r="I91" s="5">
        <v>59335</v>
      </c>
      <c r="K91" s="15">
        <v>2</v>
      </c>
      <c r="L91" s="6">
        <f>SUMIFS(consArgamassa[Consumido (m³)],consArgamassa[RecebID],recebArgamassa[[#This Row],[RecebID]])</f>
        <v>2</v>
      </c>
      <c r="M91" s="18">
        <v>2</v>
      </c>
      <c r="N91" s="1">
        <v>464.75</v>
      </c>
      <c r="O91" s="1" t="s">
        <v>274</v>
      </c>
      <c r="P91" s="12">
        <v>36892</v>
      </c>
    </row>
    <row r="92" spans="1:16" x14ac:dyDescent="0.25">
      <c r="A92" s="7" t="str">
        <f>CONCATENATE("RCBARG",TEXT(recebArgamassa[[#This Row],[Ordem]],"00000"))</f>
        <v>RCBARG00090</v>
      </c>
      <c r="B92" s="9">
        <v>90</v>
      </c>
      <c r="C92" s="11">
        <v>44964</v>
      </c>
      <c r="D92" s="1" t="s">
        <v>275</v>
      </c>
      <c r="E92" s="16">
        <v>32690</v>
      </c>
      <c r="F92" s="16">
        <v>5484707</v>
      </c>
      <c r="G92" s="17">
        <v>0.32361111111111102</v>
      </c>
      <c r="H92" s="5" t="s">
        <v>14</v>
      </c>
      <c r="I92" s="5">
        <v>59335</v>
      </c>
      <c r="K92" s="15">
        <v>1</v>
      </c>
      <c r="L92" s="6">
        <f>SUMIFS(consArgamassa[Consumido (m³)],consArgamassa[RecebID],recebArgamassa[[#This Row],[RecebID]])</f>
        <v>1</v>
      </c>
      <c r="M92" s="18">
        <v>1</v>
      </c>
      <c r="N92" s="1">
        <v>464.75</v>
      </c>
      <c r="O92" s="1" t="s">
        <v>274</v>
      </c>
      <c r="P92" s="12">
        <v>36892</v>
      </c>
    </row>
    <row r="93" spans="1:16" x14ac:dyDescent="0.25">
      <c r="A93" s="7" t="str">
        <f>CONCATENATE("RCBARG",TEXT(recebArgamassa[[#This Row],[Ordem]],"00000"))</f>
        <v>RCBARG00091</v>
      </c>
      <c r="B93" s="9">
        <v>91</v>
      </c>
      <c r="C93" s="11">
        <v>44964</v>
      </c>
      <c r="D93" s="1" t="s">
        <v>275</v>
      </c>
      <c r="E93" s="16">
        <v>32690</v>
      </c>
      <c r="F93" s="16">
        <v>5484707</v>
      </c>
      <c r="G93" s="17">
        <v>0.32361111111111102</v>
      </c>
      <c r="H93" s="5" t="s">
        <v>14</v>
      </c>
      <c r="I93" s="5">
        <v>59335</v>
      </c>
      <c r="K93" s="15">
        <v>2</v>
      </c>
      <c r="L93" s="6">
        <f>SUMIFS(consArgamassa[Consumido (m³)],consArgamassa[RecebID],recebArgamassa[[#This Row],[RecebID]])</f>
        <v>2</v>
      </c>
      <c r="M93" s="18">
        <v>2</v>
      </c>
      <c r="N93" s="1">
        <v>464.75</v>
      </c>
      <c r="O93" s="1" t="s">
        <v>274</v>
      </c>
      <c r="P93" s="12">
        <v>36892</v>
      </c>
    </row>
    <row r="94" spans="1:16" x14ac:dyDescent="0.25">
      <c r="A94" s="7" t="str">
        <f>CONCATENATE("RCBARG",TEXT(recebArgamassa[[#This Row],[Ordem]],"00000"))</f>
        <v>RCBARG00092</v>
      </c>
      <c r="B94" s="9">
        <v>92</v>
      </c>
      <c r="C94" s="11">
        <v>44965</v>
      </c>
      <c r="D94" s="1" t="s">
        <v>275</v>
      </c>
      <c r="E94" s="16">
        <v>32714</v>
      </c>
      <c r="F94" s="16">
        <v>5484675</v>
      </c>
      <c r="G94" s="17">
        <v>0.436805555555556</v>
      </c>
      <c r="H94" s="5" t="s">
        <v>14</v>
      </c>
      <c r="I94" s="5">
        <v>59335</v>
      </c>
      <c r="K94" s="15">
        <v>2</v>
      </c>
      <c r="L94" s="6">
        <f>SUMIFS(consArgamassa[Consumido (m³)],consArgamassa[RecebID],recebArgamassa[[#This Row],[RecebID]])</f>
        <v>2</v>
      </c>
      <c r="M94" s="18">
        <v>2</v>
      </c>
      <c r="N94" s="1">
        <v>464.75</v>
      </c>
      <c r="O94" s="1" t="s">
        <v>274</v>
      </c>
      <c r="P94" s="12">
        <v>36892</v>
      </c>
    </row>
    <row r="95" spans="1:16" x14ac:dyDescent="0.25">
      <c r="A95" s="7" t="str">
        <f>CONCATENATE("RCBARG",TEXT(recebArgamassa[[#This Row],[Ordem]],"00000"))</f>
        <v>RCBARG00093</v>
      </c>
      <c r="B95" s="9">
        <v>93</v>
      </c>
      <c r="C95" s="11">
        <v>44965</v>
      </c>
      <c r="D95" s="1" t="s">
        <v>275</v>
      </c>
      <c r="E95" s="16">
        <v>32714</v>
      </c>
      <c r="F95" s="16">
        <v>5484675</v>
      </c>
      <c r="G95" s="17">
        <v>0.436805555555556</v>
      </c>
      <c r="H95" s="5" t="s">
        <v>14</v>
      </c>
      <c r="I95" s="5">
        <v>59335</v>
      </c>
      <c r="K95" s="15">
        <v>3</v>
      </c>
      <c r="L95" s="6">
        <f>SUMIFS(consArgamassa[Consumido (m³)],consArgamassa[RecebID],recebArgamassa[[#This Row],[RecebID]])</f>
        <v>3</v>
      </c>
      <c r="M95" s="18">
        <v>3</v>
      </c>
      <c r="N95" s="1">
        <v>464.75</v>
      </c>
      <c r="O95" s="1" t="s">
        <v>274</v>
      </c>
      <c r="P95" s="12">
        <v>36892</v>
      </c>
    </row>
    <row r="96" spans="1:16" x14ac:dyDescent="0.25">
      <c r="A96" s="7" t="str">
        <f>CONCATENATE("RCBARG",TEXT(recebArgamassa[[#This Row],[Ordem]],"00000"))</f>
        <v>RCBARG00094</v>
      </c>
      <c r="B96" s="9">
        <v>94</v>
      </c>
      <c r="C96" s="11">
        <v>44967</v>
      </c>
      <c r="D96" s="1" t="s">
        <v>275</v>
      </c>
      <c r="E96" s="16">
        <v>32740</v>
      </c>
      <c r="F96" s="16">
        <v>5484659</v>
      </c>
      <c r="G96" s="17">
        <v>0.4375</v>
      </c>
      <c r="H96" s="5" t="s">
        <v>15</v>
      </c>
      <c r="I96" s="5">
        <v>59335</v>
      </c>
      <c r="K96" s="15">
        <v>1.5</v>
      </c>
      <c r="L96" s="6">
        <f>SUMIFS(consArgamassa[Consumido (m³)],consArgamassa[RecebID],recebArgamassa[[#This Row],[RecebID]])</f>
        <v>1.5</v>
      </c>
      <c r="M96" s="18">
        <v>1.5</v>
      </c>
      <c r="N96" s="1">
        <v>464.75</v>
      </c>
      <c r="O96" s="1" t="s">
        <v>274</v>
      </c>
      <c r="P96" s="12">
        <v>36892</v>
      </c>
    </row>
    <row r="97" spans="1:16" x14ac:dyDescent="0.25">
      <c r="A97" s="7" t="str">
        <f>CONCATENATE("RCBARG",TEXT(recebArgamassa[[#This Row],[Ordem]],"00000"))</f>
        <v>RCBARG00095</v>
      </c>
      <c r="B97" s="9">
        <v>95</v>
      </c>
      <c r="C97" s="11">
        <v>44967</v>
      </c>
      <c r="D97" s="1" t="s">
        <v>275</v>
      </c>
      <c r="E97" s="16">
        <v>32740</v>
      </c>
      <c r="F97" s="16">
        <v>5484659</v>
      </c>
      <c r="G97" s="17">
        <v>0.4375</v>
      </c>
      <c r="H97" s="5" t="s">
        <v>15</v>
      </c>
      <c r="I97" s="5">
        <v>59335</v>
      </c>
      <c r="K97" s="15">
        <v>1.5</v>
      </c>
      <c r="L97" s="6">
        <f>SUMIFS(consArgamassa[Consumido (m³)],consArgamassa[RecebID],recebArgamassa[[#This Row],[RecebID]])</f>
        <v>1.5</v>
      </c>
      <c r="M97" s="18">
        <v>1.5</v>
      </c>
      <c r="N97" s="1">
        <v>464.75</v>
      </c>
      <c r="O97" s="1" t="s">
        <v>274</v>
      </c>
      <c r="P97" s="12">
        <v>36892</v>
      </c>
    </row>
    <row r="98" spans="1:16" x14ac:dyDescent="0.25">
      <c r="A98" s="7" t="str">
        <f>CONCATENATE("RCBARG",TEXT(recebArgamassa[[#This Row],[Ordem]],"00000"))</f>
        <v>RCBARG00096</v>
      </c>
      <c r="B98" s="9">
        <v>96</v>
      </c>
      <c r="C98" s="11">
        <v>44967</v>
      </c>
      <c r="D98" s="1" t="s">
        <v>275</v>
      </c>
      <c r="E98" s="16">
        <v>32740</v>
      </c>
      <c r="F98" s="16">
        <v>5484659</v>
      </c>
      <c r="G98" s="17">
        <v>0.4375</v>
      </c>
      <c r="H98" s="5" t="s">
        <v>15</v>
      </c>
      <c r="I98" s="5">
        <v>59335</v>
      </c>
      <c r="K98" s="15">
        <v>4</v>
      </c>
      <c r="L98" s="6">
        <f>SUMIFS(consArgamassa[Consumido (m³)],consArgamassa[RecebID],recebArgamassa[[#This Row],[RecebID]])</f>
        <v>4</v>
      </c>
      <c r="M98" s="18">
        <v>4</v>
      </c>
      <c r="N98" s="1">
        <v>464.75</v>
      </c>
      <c r="O98" s="1" t="s">
        <v>274</v>
      </c>
      <c r="P98" s="12">
        <v>36892</v>
      </c>
    </row>
    <row r="99" spans="1:16" x14ac:dyDescent="0.25">
      <c r="A99" s="7" t="str">
        <f>CONCATENATE("RCBARG",TEXT(recebArgamassa[[#This Row],[Ordem]],"00000"))</f>
        <v>RCBARG00097</v>
      </c>
      <c r="B99" s="9">
        <v>97</v>
      </c>
      <c r="C99" s="11">
        <v>44197</v>
      </c>
      <c r="D99" s="1" t="s">
        <v>275</v>
      </c>
      <c r="E99" s="16">
        <v>32760</v>
      </c>
      <c r="F99" s="16">
        <v>5484451</v>
      </c>
      <c r="G99" s="17">
        <v>0.35625000000000001</v>
      </c>
      <c r="H99" s="5" t="s">
        <v>12</v>
      </c>
      <c r="I99" s="5">
        <v>59493</v>
      </c>
      <c r="K99" s="15">
        <v>4</v>
      </c>
      <c r="L99" s="6">
        <f>SUMIFS(consArgamassa[Consumido (m³)],consArgamassa[RecebID],recebArgamassa[[#This Row],[RecebID]])</f>
        <v>4</v>
      </c>
      <c r="M99" s="18">
        <v>4</v>
      </c>
      <c r="N99" s="1">
        <v>464.75</v>
      </c>
      <c r="O99" s="1" t="s">
        <v>274</v>
      </c>
      <c r="P99" s="12">
        <v>36892</v>
      </c>
    </row>
    <row r="100" spans="1:16" x14ac:dyDescent="0.25">
      <c r="A100" s="7" t="str">
        <f>CONCATENATE("RCBARG",TEXT(recebArgamassa[[#This Row],[Ordem]],"00000"))</f>
        <v>RCBARG00098</v>
      </c>
      <c r="B100" s="9">
        <v>98</v>
      </c>
      <c r="C100" s="11">
        <v>44197</v>
      </c>
      <c r="D100" s="1" t="s">
        <v>275</v>
      </c>
      <c r="E100" s="16">
        <v>32760</v>
      </c>
      <c r="F100" s="16">
        <v>5484451</v>
      </c>
      <c r="G100" s="17">
        <v>0.35625000000000001</v>
      </c>
      <c r="H100" s="5" t="s">
        <v>12</v>
      </c>
      <c r="I100" s="5">
        <v>59493</v>
      </c>
      <c r="K100" s="15">
        <v>2</v>
      </c>
      <c r="L100" s="6">
        <f>SUMIFS(consArgamassa[Consumido (m³)],consArgamassa[RecebID],recebArgamassa[[#This Row],[RecebID]])</f>
        <v>2</v>
      </c>
      <c r="M100" s="18">
        <v>2</v>
      </c>
      <c r="N100" s="1">
        <v>464.75</v>
      </c>
      <c r="O100" s="1" t="s">
        <v>274</v>
      </c>
      <c r="P100" s="12">
        <v>36892</v>
      </c>
    </row>
    <row r="101" spans="1:16" x14ac:dyDescent="0.25">
      <c r="A101" s="7" t="str">
        <f>CONCATENATE("RCBARG",TEXT(recebArgamassa[[#This Row],[Ordem]],"00000"))</f>
        <v>RCBARG00099</v>
      </c>
      <c r="B101" s="9">
        <v>99</v>
      </c>
      <c r="C101" s="11">
        <v>44197</v>
      </c>
      <c r="D101" s="1" t="s">
        <v>275</v>
      </c>
      <c r="E101" s="16">
        <v>32760</v>
      </c>
      <c r="F101" s="16">
        <v>5484451</v>
      </c>
      <c r="G101" s="17">
        <v>0.35625000000000001</v>
      </c>
      <c r="H101" s="5" t="s">
        <v>12</v>
      </c>
      <c r="I101" s="5">
        <v>59493</v>
      </c>
      <c r="K101" s="15">
        <v>1</v>
      </c>
      <c r="L101" s="6">
        <f>SUMIFS(consArgamassa[Consumido (m³)],consArgamassa[RecebID],recebArgamassa[[#This Row],[RecebID]])</f>
        <v>1</v>
      </c>
      <c r="M101" s="18">
        <v>1</v>
      </c>
      <c r="N101" s="1">
        <v>464.75</v>
      </c>
      <c r="O101" s="1" t="s">
        <v>274</v>
      </c>
      <c r="P101" s="12">
        <v>36892</v>
      </c>
    </row>
    <row r="102" spans="1:16" x14ac:dyDescent="0.25">
      <c r="A102" s="7" t="str">
        <f>CONCATENATE("RCBARG",TEXT(recebArgamassa[[#This Row],[Ordem]],"00000"))</f>
        <v>RCBARG00100</v>
      </c>
      <c r="B102" s="9">
        <v>100</v>
      </c>
      <c r="C102" s="11">
        <v>44971</v>
      </c>
      <c r="D102" s="1" t="s">
        <v>275</v>
      </c>
      <c r="E102" s="16">
        <v>32773</v>
      </c>
      <c r="F102" s="16">
        <v>5484465</v>
      </c>
      <c r="G102" s="17">
        <v>0.33124999999999999</v>
      </c>
      <c r="H102" s="5" t="s">
        <v>14</v>
      </c>
      <c r="I102" s="5">
        <v>59493</v>
      </c>
      <c r="K102" s="15">
        <v>5</v>
      </c>
      <c r="L102" s="6">
        <f>SUMIFS(consArgamassa[Consumido (m³)],consArgamassa[RecebID],recebArgamassa[[#This Row],[RecebID]])</f>
        <v>5</v>
      </c>
      <c r="M102" s="18">
        <v>5</v>
      </c>
      <c r="N102" s="1">
        <v>464.75</v>
      </c>
      <c r="O102" s="1" t="s">
        <v>274</v>
      </c>
      <c r="P102" s="12">
        <v>36892</v>
      </c>
    </row>
    <row r="103" spans="1:16" x14ac:dyDescent="0.25">
      <c r="A103" s="7" t="str">
        <f>CONCATENATE("RCBARG",TEXT(recebArgamassa[[#This Row],[Ordem]],"00000"))</f>
        <v>RCBARG00101</v>
      </c>
      <c r="B103" s="9">
        <v>101</v>
      </c>
      <c r="C103" s="11">
        <v>44971</v>
      </c>
      <c r="D103" s="1" t="s">
        <v>275</v>
      </c>
      <c r="E103" s="16">
        <v>32773</v>
      </c>
      <c r="F103" s="16">
        <v>5484465</v>
      </c>
      <c r="G103" s="17">
        <v>0.33124999999999999</v>
      </c>
      <c r="H103" s="5" t="s">
        <v>14</v>
      </c>
      <c r="I103" s="5">
        <v>59493</v>
      </c>
      <c r="K103" s="15">
        <v>1</v>
      </c>
      <c r="L103" s="6">
        <f>SUMIFS(consArgamassa[Consumido (m³)],consArgamassa[RecebID],recebArgamassa[[#This Row],[RecebID]])</f>
        <v>1</v>
      </c>
      <c r="M103" s="18">
        <v>1</v>
      </c>
      <c r="N103" s="1">
        <v>464.75</v>
      </c>
      <c r="O103" s="1" t="s">
        <v>274</v>
      </c>
      <c r="P103" s="12">
        <v>36892</v>
      </c>
    </row>
    <row r="104" spans="1:16" x14ac:dyDescent="0.25">
      <c r="A104" s="7" t="str">
        <f>CONCATENATE("RCBARG",TEXT(recebArgamassa[[#This Row],[Ordem]],"00000"))</f>
        <v>RCBARG00102</v>
      </c>
      <c r="B104" s="9">
        <v>102</v>
      </c>
      <c r="C104" s="11">
        <v>44971</v>
      </c>
      <c r="D104" s="1" t="s">
        <v>275</v>
      </c>
      <c r="E104" s="16">
        <v>32773</v>
      </c>
      <c r="F104" s="16">
        <v>5484465</v>
      </c>
      <c r="G104" s="17">
        <v>0.33124999999999999</v>
      </c>
      <c r="H104" s="5" t="s">
        <v>14</v>
      </c>
      <c r="I104" s="5">
        <v>59493</v>
      </c>
      <c r="K104" s="15">
        <v>1</v>
      </c>
      <c r="L104" s="6">
        <f>SUMIFS(consArgamassa[Consumido (m³)],consArgamassa[RecebID],recebArgamassa[[#This Row],[RecebID]])</f>
        <v>1</v>
      </c>
      <c r="M104" s="18">
        <v>1</v>
      </c>
      <c r="N104" s="1">
        <v>464.75</v>
      </c>
      <c r="O104" s="1" t="s">
        <v>274</v>
      </c>
      <c r="P104" s="12">
        <v>36892</v>
      </c>
    </row>
    <row r="105" spans="1:16" x14ac:dyDescent="0.25">
      <c r="A105" s="7" t="str">
        <f>CONCATENATE("RCBARG",TEXT(recebArgamassa[[#This Row],[Ordem]],"00000"))</f>
        <v>RCBARG00103</v>
      </c>
      <c r="B105" s="9">
        <v>103</v>
      </c>
      <c r="C105" s="11">
        <v>44972</v>
      </c>
      <c r="D105" s="1" t="s">
        <v>275</v>
      </c>
      <c r="E105" s="16">
        <v>32797</v>
      </c>
      <c r="F105" s="16">
        <v>5484551</v>
      </c>
      <c r="G105" s="17">
        <v>0.33680555555555602</v>
      </c>
      <c r="H105" s="5" t="s">
        <v>12</v>
      </c>
      <c r="I105" s="5">
        <v>59493</v>
      </c>
      <c r="K105" s="15">
        <v>3</v>
      </c>
      <c r="L105" s="6">
        <f>SUMIFS(consArgamassa[Consumido (m³)],consArgamassa[RecebID],recebArgamassa[[#This Row],[RecebID]])</f>
        <v>3</v>
      </c>
      <c r="M105" s="18">
        <v>3</v>
      </c>
      <c r="N105" s="1">
        <v>464.75</v>
      </c>
      <c r="O105" s="1" t="s">
        <v>274</v>
      </c>
      <c r="P105" s="12">
        <v>36892</v>
      </c>
    </row>
    <row r="106" spans="1:16" x14ac:dyDescent="0.25">
      <c r="A106" s="7" t="str">
        <f>CONCATENATE("RCBARG",TEXT(recebArgamassa[[#This Row],[Ordem]],"00000"))</f>
        <v>RCBARG00104</v>
      </c>
      <c r="B106" s="9">
        <v>104</v>
      </c>
      <c r="C106" s="11">
        <v>44972</v>
      </c>
      <c r="D106" s="1" t="s">
        <v>275</v>
      </c>
      <c r="E106" s="16">
        <v>32797</v>
      </c>
      <c r="F106" s="16">
        <v>5484551</v>
      </c>
      <c r="G106" s="17">
        <v>0.33680555555555602</v>
      </c>
      <c r="H106" s="5" t="s">
        <v>12</v>
      </c>
      <c r="I106" s="5">
        <v>59493</v>
      </c>
      <c r="K106" s="15">
        <v>1</v>
      </c>
      <c r="L106" s="6">
        <f>SUMIFS(consArgamassa[Consumido (m³)],consArgamassa[RecebID],recebArgamassa[[#This Row],[RecebID]])</f>
        <v>1</v>
      </c>
      <c r="M106" s="18">
        <v>1</v>
      </c>
      <c r="N106" s="1">
        <v>464.75</v>
      </c>
      <c r="O106" s="1" t="s">
        <v>274</v>
      </c>
      <c r="P106" s="12">
        <v>36892</v>
      </c>
    </row>
    <row r="107" spans="1:16" x14ac:dyDescent="0.25">
      <c r="A107" s="7" t="str">
        <f>CONCATENATE("RCBARG",TEXT(recebArgamassa[[#This Row],[Ordem]],"00000"))</f>
        <v>RCBARG00105</v>
      </c>
      <c r="B107" s="9">
        <v>105</v>
      </c>
      <c r="C107" s="11">
        <v>44972</v>
      </c>
      <c r="D107" s="1" t="s">
        <v>275</v>
      </c>
      <c r="E107" s="16">
        <v>32797</v>
      </c>
      <c r="F107" s="16">
        <v>5484551</v>
      </c>
      <c r="G107" s="17">
        <v>0.33680555555555602</v>
      </c>
      <c r="H107" s="5" t="s">
        <v>12</v>
      </c>
      <c r="I107" s="5">
        <v>59493</v>
      </c>
      <c r="K107" s="15">
        <v>0.5</v>
      </c>
      <c r="L107" s="6">
        <f>SUMIFS(consArgamassa[Consumido (m³)],consArgamassa[RecebID],recebArgamassa[[#This Row],[RecebID]])</f>
        <v>0.5</v>
      </c>
      <c r="M107" s="18">
        <v>0.5</v>
      </c>
      <c r="N107" s="1">
        <v>464.75</v>
      </c>
      <c r="O107" s="1" t="s">
        <v>274</v>
      </c>
      <c r="P107" s="12">
        <v>36892</v>
      </c>
    </row>
    <row r="108" spans="1:16" x14ac:dyDescent="0.25">
      <c r="A108" s="7" t="str">
        <f>CONCATENATE("RCBARG",TEXT(recebArgamassa[[#This Row],[Ordem]],"00000"))</f>
        <v>RCBARG00106</v>
      </c>
      <c r="B108" s="9">
        <v>106</v>
      </c>
      <c r="C108" s="11">
        <v>44972</v>
      </c>
      <c r="D108" s="1" t="s">
        <v>275</v>
      </c>
      <c r="E108" s="16">
        <v>32797</v>
      </c>
      <c r="F108" s="16">
        <v>5484551</v>
      </c>
      <c r="G108" s="17">
        <v>0.33680555555555602</v>
      </c>
      <c r="H108" s="5" t="s">
        <v>12</v>
      </c>
      <c r="I108" s="5">
        <v>59493</v>
      </c>
      <c r="K108" s="15">
        <v>0.5</v>
      </c>
      <c r="L108" s="6">
        <f>SUMIFS(consArgamassa[Consumido (m³)],consArgamassa[RecebID],recebArgamassa[[#This Row],[RecebID]])</f>
        <v>0.5</v>
      </c>
      <c r="M108" s="18">
        <v>0.5</v>
      </c>
      <c r="N108" s="1">
        <v>464.75</v>
      </c>
      <c r="O108" s="1" t="s">
        <v>274</v>
      </c>
      <c r="P108" s="12">
        <v>36892</v>
      </c>
    </row>
    <row r="109" spans="1:16" x14ac:dyDescent="0.25">
      <c r="A109" s="7" t="str">
        <f>CONCATENATE("RCBARG",TEXT(recebArgamassa[[#This Row],[Ordem]],"00000"))</f>
        <v>RCBARG00107</v>
      </c>
      <c r="B109" s="9">
        <v>107</v>
      </c>
      <c r="C109" s="11">
        <v>44973</v>
      </c>
      <c r="D109" s="1" t="s">
        <v>275</v>
      </c>
      <c r="E109" s="16">
        <v>32830</v>
      </c>
      <c r="F109" s="16">
        <v>5484543</v>
      </c>
      <c r="G109" s="17">
        <v>0.42499999999999999</v>
      </c>
      <c r="H109" s="5" t="s">
        <v>11</v>
      </c>
      <c r="I109" s="5">
        <v>59492</v>
      </c>
      <c r="K109" s="15">
        <v>6</v>
      </c>
      <c r="L109" s="6">
        <f>SUMIFS(consArgamassa[Consumido (m³)],consArgamassa[RecebID],recebArgamassa[[#This Row],[RecebID]])</f>
        <v>6</v>
      </c>
      <c r="M109" s="18">
        <v>6</v>
      </c>
      <c r="N109" s="1">
        <v>464.75</v>
      </c>
      <c r="O109" s="1" t="s">
        <v>274</v>
      </c>
      <c r="P109" s="12">
        <v>36892</v>
      </c>
    </row>
    <row r="110" spans="1:16" x14ac:dyDescent="0.25">
      <c r="A110" s="7" t="str">
        <f>CONCATENATE("RCBARG",TEXT(recebArgamassa[[#This Row],[Ordem]],"00000"))</f>
        <v>RCBARG00108</v>
      </c>
      <c r="B110" s="9">
        <v>108</v>
      </c>
      <c r="C110" s="11">
        <v>44973</v>
      </c>
      <c r="D110" s="1" t="s">
        <v>275</v>
      </c>
      <c r="E110" s="16">
        <v>32830</v>
      </c>
      <c r="F110" s="16">
        <v>5484543</v>
      </c>
      <c r="G110" s="17">
        <v>0.42499999999999999</v>
      </c>
      <c r="H110" s="5" t="s">
        <v>11</v>
      </c>
      <c r="I110" s="5">
        <v>59492</v>
      </c>
      <c r="K110" s="15">
        <v>1</v>
      </c>
      <c r="L110" s="6">
        <f>SUMIFS(consArgamassa[Consumido (m³)],consArgamassa[RecebID],recebArgamassa[[#This Row],[RecebID]])</f>
        <v>1</v>
      </c>
      <c r="M110" s="18">
        <v>1</v>
      </c>
      <c r="N110" s="1">
        <v>464.75</v>
      </c>
      <c r="O110" s="1" t="s">
        <v>274</v>
      </c>
      <c r="P110" s="12">
        <v>36892</v>
      </c>
    </row>
    <row r="111" spans="1:16" x14ac:dyDescent="0.25">
      <c r="A111" s="7" t="str">
        <f>CONCATENATE("RCBARG",TEXT(recebArgamassa[[#This Row],[Ordem]],"00000"))</f>
        <v>RCBARG00109</v>
      </c>
      <c r="B111" s="9">
        <v>109</v>
      </c>
      <c r="C111" s="11">
        <v>44973</v>
      </c>
      <c r="D111" s="1" t="s">
        <v>275</v>
      </c>
      <c r="E111" s="16">
        <v>32830</v>
      </c>
      <c r="F111" s="16">
        <v>5484577</v>
      </c>
      <c r="G111" s="17">
        <v>0.63819444444444395</v>
      </c>
      <c r="H111" s="5" t="s">
        <v>13</v>
      </c>
      <c r="I111" s="5">
        <v>59492</v>
      </c>
      <c r="K111" s="15">
        <v>2</v>
      </c>
      <c r="L111" s="6">
        <f>SUMIFS(consArgamassa[Consumido (m³)],consArgamassa[RecebID],recebArgamassa[[#This Row],[RecebID]])</f>
        <v>2</v>
      </c>
      <c r="M111" s="18">
        <v>2</v>
      </c>
      <c r="N111" s="1">
        <v>464.75</v>
      </c>
      <c r="O111" s="1" t="s">
        <v>274</v>
      </c>
      <c r="P111" s="12">
        <v>36892</v>
      </c>
    </row>
    <row r="112" spans="1:16" x14ac:dyDescent="0.25">
      <c r="A112" s="7" t="str">
        <f>CONCATENATE("RCBARG",TEXT(recebArgamassa[[#This Row],[Ordem]],"00000"))</f>
        <v>RCBARG00110</v>
      </c>
      <c r="B112" s="9">
        <v>110</v>
      </c>
      <c r="C112" s="11">
        <v>44973</v>
      </c>
      <c r="D112" s="1" t="s">
        <v>275</v>
      </c>
      <c r="E112" s="16">
        <v>32830</v>
      </c>
      <c r="F112" s="16">
        <v>5484577</v>
      </c>
      <c r="G112" s="17">
        <v>0.63819444444444395</v>
      </c>
      <c r="H112" s="5" t="s">
        <v>13</v>
      </c>
      <c r="I112" s="5">
        <v>59492</v>
      </c>
      <c r="K112" s="15">
        <v>2</v>
      </c>
      <c r="L112" s="6">
        <f>SUMIFS(consArgamassa[Consumido (m³)],consArgamassa[RecebID],recebArgamassa[[#This Row],[RecebID]])</f>
        <v>2</v>
      </c>
      <c r="M112" s="18">
        <v>2</v>
      </c>
      <c r="N112" s="1">
        <v>464.75</v>
      </c>
      <c r="O112" s="1" t="s">
        <v>274</v>
      </c>
      <c r="P112" s="12">
        <v>36892</v>
      </c>
    </row>
    <row r="113" spans="1:16" x14ac:dyDescent="0.25">
      <c r="A113" s="7" t="str">
        <f>CONCATENATE("RCBARG",TEXT(recebArgamassa[[#This Row],[Ordem]],"00000"))</f>
        <v>RCBARG00111</v>
      </c>
      <c r="B113" s="9">
        <v>111</v>
      </c>
      <c r="C113" s="11">
        <v>44973</v>
      </c>
      <c r="D113" s="1" t="s">
        <v>275</v>
      </c>
      <c r="E113" s="16">
        <v>32830</v>
      </c>
      <c r="F113" s="16">
        <v>5484577</v>
      </c>
      <c r="G113" s="17">
        <v>0.63819444444444395</v>
      </c>
      <c r="H113" s="5" t="s">
        <v>13</v>
      </c>
      <c r="I113" s="5">
        <v>59492</v>
      </c>
      <c r="K113" s="15">
        <v>1</v>
      </c>
      <c r="L113" s="6">
        <f>SUMIFS(consArgamassa[Consumido (m³)],consArgamassa[RecebID],recebArgamassa[[#This Row],[RecebID]])</f>
        <v>1</v>
      </c>
      <c r="M113" s="18">
        <v>1</v>
      </c>
      <c r="N113" s="1">
        <v>464.75</v>
      </c>
      <c r="O113" s="1" t="s">
        <v>274</v>
      </c>
      <c r="P113" s="12">
        <v>36892</v>
      </c>
    </row>
    <row r="114" spans="1:16" x14ac:dyDescent="0.25">
      <c r="A114" s="7" t="str">
        <f>CONCATENATE("RCBARG",TEXT(recebArgamassa[[#This Row],[Ordem]],"00000"))</f>
        <v>RCBARG00112</v>
      </c>
      <c r="B114" s="9">
        <v>112</v>
      </c>
      <c r="C114" s="11">
        <v>44980</v>
      </c>
      <c r="D114" s="1" t="s">
        <v>275</v>
      </c>
      <c r="E114" s="16">
        <v>32866</v>
      </c>
      <c r="F114" s="16">
        <v>5484615</v>
      </c>
      <c r="G114" s="17">
        <v>0.34027777777777801</v>
      </c>
      <c r="H114" s="5" t="s">
        <v>14</v>
      </c>
      <c r="I114" s="5">
        <v>59493</v>
      </c>
      <c r="K114" s="15">
        <v>3</v>
      </c>
      <c r="L114" s="6">
        <f>SUMIFS(consArgamassa[Consumido (m³)],consArgamassa[RecebID],recebArgamassa[[#This Row],[RecebID]])</f>
        <v>3</v>
      </c>
      <c r="M114" s="18">
        <v>3</v>
      </c>
      <c r="N114" s="1">
        <v>464.75</v>
      </c>
      <c r="O114" s="1" t="s">
        <v>274</v>
      </c>
      <c r="P114" s="12">
        <v>36892</v>
      </c>
    </row>
    <row r="115" spans="1:16" x14ac:dyDescent="0.25">
      <c r="A115" s="7" t="str">
        <f>CONCATENATE("RCBARG",TEXT(recebArgamassa[[#This Row],[Ordem]],"00000"))</f>
        <v>RCBARG00113</v>
      </c>
      <c r="B115" s="9">
        <v>113</v>
      </c>
      <c r="C115" s="11">
        <v>44980</v>
      </c>
      <c r="D115" s="1" t="s">
        <v>275</v>
      </c>
      <c r="E115" s="16">
        <v>32866</v>
      </c>
      <c r="F115" s="16">
        <v>5484615</v>
      </c>
      <c r="G115" s="17">
        <v>0.34027777777777801</v>
      </c>
      <c r="H115" s="5" t="s">
        <v>14</v>
      </c>
      <c r="I115" s="5">
        <v>59493</v>
      </c>
      <c r="K115" s="15">
        <v>2</v>
      </c>
      <c r="L115" s="6">
        <f>SUMIFS(consArgamassa[Consumido (m³)],consArgamassa[RecebID],recebArgamassa[[#This Row],[RecebID]])</f>
        <v>2</v>
      </c>
      <c r="M115" s="18">
        <v>2</v>
      </c>
      <c r="N115" s="1">
        <v>464.75</v>
      </c>
      <c r="O115" s="1" t="s">
        <v>274</v>
      </c>
      <c r="P115" s="12">
        <v>36892</v>
      </c>
    </row>
    <row r="116" spans="1:16" x14ac:dyDescent="0.25">
      <c r="A116" s="7" t="str">
        <f>CONCATENATE("RCBARG",TEXT(recebArgamassa[[#This Row],[Ordem]],"00000"))</f>
        <v>RCBARG00114</v>
      </c>
      <c r="B116" s="9">
        <v>114</v>
      </c>
      <c r="C116" s="11">
        <v>44981</v>
      </c>
      <c r="D116" s="1" t="s">
        <v>275</v>
      </c>
      <c r="E116" s="16">
        <v>32890</v>
      </c>
      <c r="F116" s="16">
        <v>5484636</v>
      </c>
      <c r="G116" s="17">
        <v>0.55555555555555602</v>
      </c>
      <c r="H116" s="5" t="s">
        <v>15</v>
      </c>
      <c r="I116" s="5">
        <v>59493</v>
      </c>
      <c r="K116" s="15">
        <v>1</v>
      </c>
      <c r="L116" s="6">
        <f>SUMIFS(consArgamassa[Consumido (m³)],consArgamassa[RecebID],recebArgamassa[[#This Row],[RecebID]])</f>
        <v>1</v>
      </c>
      <c r="M116" s="18">
        <v>1</v>
      </c>
      <c r="N116" s="1">
        <v>464.75</v>
      </c>
      <c r="O116" s="1" t="s">
        <v>274</v>
      </c>
      <c r="P116" s="12">
        <v>36892</v>
      </c>
    </row>
    <row r="117" spans="1:16" x14ac:dyDescent="0.25">
      <c r="A117" s="7" t="str">
        <f>CONCATENATE("RCBARG",TEXT(recebArgamassa[[#This Row],[Ordem]],"00000"))</f>
        <v>RCBARG00115</v>
      </c>
      <c r="B117" s="9">
        <v>115</v>
      </c>
      <c r="C117" s="11">
        <v>44981</v>
      </c>
      <c r="D117" s="1" t="s">
        <v>275</v>
      </c>
      <c r="E117" s="16">
        <v>32890</v>
      </c>
      <c r="F117" s="16">
        <v>5484636</v>
      </c>
      <c r="G117" s="17">
        <v>0.55555555555555602</v>
      </c>
      <c r="H117" s="5" t="s">
        <v>15</v>
      </c>
      <c r="I117" s="5">
        <v>59493</v>
      </c>
      <c r="K117" s="15">
        <v>1</v>
      </c>
      <c r="L117" s="6">
        <f>SUMIFS(consArgamassa[Consumido (m³)],consArgamassa[RecebID],recebArgamassa[[#This Row],[RecebID]])</f>
        <v>1</v>
      </c>
      <c r="M117" s="18">
        <v>1</v>
      </c>
      <c r="N117" s="1">
        <v>464.75</v>
      </c>
      <c r="O117" s="1" t="s">
        <v>274</v>
      </c>
      <c r="P117" s="12">
        <v>36892</v>
      </c>
    </row>
    <row r="118" spans="1:16" x14ac:dyDescent="0.25">
      <c r="A118" s="7" t="str">
        <f>CONCATENATE("RCBARG",TEXT(recebArgamassa[[#This Row],[Ordem]],"00000"))</f>
        <v>RCBARG00116</v>
      </c>
      <c r="B118" s="9">
        <v>116</v>
      </c>
      <c r="C118" s="11">
        <v>44981</v>
      </c>
      <c r="D118" s="1" t="s">
        <v>275</v>
      </c>
      <c r="E118" s="16">
        <v>32890</v>
      </c>
      <c r="F118" s="16">
        <v>5484636</v>
      </c>
      <c r="G118" s="17">
        <v>0.55555555555555602</v>
      </c>
      <c r="H118" s="5" t="s">
        <v>15</v>
      </c>
      <c r="I118" s="5">
        <v>59493</v>
      </c>
      <c r="K118" s="15">
        <v>3</v>
      </c>
      <c r="L118" s="6">
        <f>SUMIFS(consArgamassa[Consumido (m³)],consArgamassa[RecebID],recebArgamassa[[#This Row],[RecebID]])</f>
        <v>3</v>
      </c>
      <c r="M118" s="18">
        <v>3</v>
      </c>
      <c r="N118" s="1">
        <v>464.75</v>
      </c>
      <c r="O118" s="1" t="s">
        <v>274</v>
      </c>
      <c r="P118" s="12">
        <v>36892</v>
      </c>
    </row>
    <row r="119" spans="1:16" x14ac:dyDescent="0.25">
      <c r="A119" s="7" t="str">
        <f>CONCATENATE("RCBARG",TEXT(recebArgamassa[[#This Row],[Ordem]],"00000"))</f>
        <v>RCBARG00117</v>
      </c>
      <c r="B119" s="9">
        <v>117</v>
      </c>
      <c r="C119" s="11">
        <v>44981</v>
      </c>
      <c r="D119" s="1" t="s">
        <v>275</v>
      </c>
      <c r="E119" s="16">
        <v>32890</v>
      </c>
      <c r="F119" s="16">
        <v>5484636</v>
      </c>
      <c r="G119" s="17">
        <v>0.55555555555555602</v>
      </c>
      <c r="H119" s="5" t="s">
        <v>15</v>
      </c>
      <c r="I119" s="5">
        <v>59493</v>
      </c>
      <c r="K119" s="15">
        <v>2</v>
      </c>
      <c r="L119" s="6">
        <f>SUMIFS(consArgamassa[Consumido (m³)],consArgamassa[RecebID],recebArgamassa[[#This Row],[RecebID]])</f>
        <v>2</v>
      </c>
      <c r="M119" s="18">
        <v>2</v>
      </c>
      <c r="N119" s="1">
        <v>464.75</v>
      </c>
      <c r="O119" s="1" t="s">
        <v>274</v>
      </c>
      <c r="P119" s="12">
        <v>36892</v>
      </c>
    </row>
    <row r="120" spans="1:16" x14ac:dyDescent="0.25">
      <c r="A120" s="7" t="str">
        <f>CONCATENATE("RCBARG",TEXT(recebArgamassa[[#This Row],[Ordem]],"00000"))</f>
        <v>RCBARG00118</v>
      </c>
      <c r="B120" s="9">
        <v>118</v>
      </c>
      <c r="C120" s="11">
        <v>44984</v>
      </c>
      <c r="D120" s="1" t="s">
        <v>275</v>
      </c>
      <c r="E120" s="16">
        <v>32907</v>
      </c>
      <c r="F120" s="16">
        <v>5484007</v>
      </c>
      <c r="G120" s="17">
        <v>0.38402777777777802</v>
      </c>
      <c r="H120" s="5" t="s">
        <v>16</v>
      </c>
      <c r="I120" s="5">
        <v>59493</v>
      </c>
      <c r="K120" s="15">
        <v>2</v>
      </c>
      <c r="L120" s="6">
        <f>SUMIFS(consArgamassa[Consumido (m³)],consArgamassa[RecebID],recebArgamassa[[#This Row],[RecebID]])</f>
        <v>2</v>
      </c>
      <c r="M120" s="18">
        <v>2</v>
      </c>
      <c r="N120" s="1">
        <v>464.75</v>
      </c>
      <c r="O120" s="1" t="s">
        <v>274</v>
      </c>
      <c r="P120" s="12">
        <v>36892</v>
      </c>
    </row>
    <row r="121" spans="1:16" x14ac:dyDescent="0.25">
      <c r="A121" s="7" t="str">
        <f>CONCATENATE("RCBARG",TEXT(recebArgamassa[[#This Row],[Ordem]],"00000"))</f>
        <v>RCBARG00119</v>
      </c>
      <c r="B121" s="9">
        <v>119</v>
      </c>
      <c r="C121" s="11">
        <v>44984</v>
      </c>
      <c r="D121" s="1" t="s">
        <v>275</v>
      </c>
      <c r="E121" s="16">
        <v>32907</v>
      </c>
      <c r="F121" s="16">
        <v>5484007</v>
      </c>
      <c r="G121" s="17">
        <v>0.38402777777777802</v>
      </c>
      <c r="H121" s="5" t="s">
        <v>16</v>
      </c>
      <c r="I121" s="5">
        <v>59493</v>
      </c>
      <c r="K121" s="15">
        <v>3</v>
      </c>
      <c r="L121" s="6">
        <f>SUMIFS(consArgamassa[Consumido (m³)],consArgamassa[RecebID],recebArgamassa[[#This Row],[RecebID]])</f>
        <v>3</v>
      </c>
      <c r="M121" s="18">
        <v>3</v>
      </c>
      <c r="N121" s="1">
        <v>464.75</v>
      </c>
      <c r="O121" s="1" t="s">
        <v>274</v>
      </c>
      <c r="P121" s="12">
        <v>36892</v>
      </c>
    </row>
    <row r="122" spans="1:16" x14ac:dyDescent="0.25">
      <c r="A122" s="7" t="str">
        <f>CONCATENATE("RCBARG",TEXT(recebArgamassa[[#This Row],[Ordem]],"00000"))</f>
        <v>RCBARG00120</v>
      </c>
      <c r="B122" s="9">
        <v>120</v>
      </c>
      <c r="C122" s="11">
        <v>44984</v>
      </c>
      <c r="D122" s="1" t="s">
        <v>275</v>
      </c>
      <c r="E122" s="16">
        <v>32907</v>
      </c>
      <c r="F122" s="16">
        <v>5484007</v>
      </c>
      <c r="G122" s="17">
        <v>0.38402777777777802</v>
      </c>
      <c r="H122" s="5" t="s">
        <v>16</v>
      </c>
      <c r="I122" s="5">
        <v>59493</v>
      </c>
      <c r="K122" s="15">
        <v>1</v>
      </c>
      <c r="L122" s="6">
        <f>SUMIFS(consArgamassa[Consumido (m³)],consArgamassa[RecebID],recebArgamassa[[#This Row],[RecebID]])</f>
        <v>1</v>
      </c>
      <c r="M122" s="18">
        <v>1</v>
      </c>
      <c r="N122" s="1">
        <v>464.75</v>
      </c>
      <c r="O122" s="1" t="s">
        <v>274</v>
      </c>
      <c r="P122" s="12">
        <v>36892</v>
      </c>
    </row>
    <row r="123" spans="1:16" x14ac:dyDescent="0.25">
      <c r="A123" s="7" t="str">
        <f>CONCATENATE("RCBARG",TEXT(recebArgamassa[[#This Row],[Ordem]],"00000"))</f>
        <v>RCBARG00121</v>
      </c>
      <c r="B123" s="9">
        <v>121</v>
      </c>
      <c r="C123" s="11">
        <v>44984</v>
      </c>
      <c r="D123" s="1" t="s">
        <v>275</v>
      </c>
      <c r="E123" s="16">
        <v>32907</v>
      </c>
      <c r="F123" s="16">
        <v>5484007</v>
      </c>
      <c r="G123" s="17">
        <v>0.38402777777777802</v>
      </c>
      <c r="H123" s="5" t="s">
        <v>16</v>
      </c>
      <c r="I123" s="5">
        <v>59493</v>
      </c>
      <c r="K123" s="15">
        <v>1</v>
      </c>
      <c r="L123" s="6">
        <f>SUMIFS(consArgamassa[Consumido (m³)],consArgamassa[RecebID],recebArgamassa[[#This Row],[RecebID]])</f>
        <v>1</v>
      </c>
      <c r="M123" s="18">
        <v>1</v>
      </c>
      <c r="N123" s="1">
        <v>464.75</v>
      </c>
      <c r="O123" s="1" t="s">
        <v>274</v>
      </c>
      <c r="P123" s="12">
        <v>36892</v>
      </c>
    </row>
    <row r="124" spans="1:16" x14ac:dyDescent="0.25">
      <c r="A124" s="7" t="str">
        <f>CONCATENATE("RCBARG",TEXT(recebArgamassa[[#This Row],[Ordem]],"00000"))</f>
        <v>RCBARG00122</v>
      </c>
      <c r="B124" s="9">
        <v>122</v>
      </c>
      <c r="C124" s="11">
        <v>44985</v>
      </c>
      <c r="D124" s="1" t="s">
        <v>275</v>
      </c>
      <c r="E124" s="16">
        <v>32940</v>
      </c>
      <c r="F124" s="16">
        <v>5484088</v>
      </c>
      <c r="G124" s="17">
        <v>0.391666666666667</v>
      </c>
      <c r="H124" s="5" t="s">
        <v>16</v>
      </c>
      <c r="I124" s="5">
        <v>59493</v>
      </c>
      <c r="K124" s="15">
        <v>1</v>
      </c>
      <c r="L124" s="6">
        <f>SUMIFS(consArgamassa[Consumido (m³)],consArgamassa[RecebID],recebArgamassa[[#This Row],[RecebID]])</f>
        <v>1</v>
      </c>
      <c r="M124" s="18">
        <v>1</v>
      </c>
      <c r="N124" s="1">
        <v>464.75</v>
      </c>
      <c r="O124" s="1" t="s">
        <v>274</v>
      </c>
      <c r="P124" s="12">
        <v>36892</v>
      </c>
    </row>
    <row r="125" spans="1:16" x14ac:dyDescent="0.25">
      <c r="A125" s="7" t="str">
        <f>CONCATENATE("RCBARG",TEXT(recebArgamassa[[#This Row],[Ordem]],"00000"))</f>
        <v>RCBARG00123</v>
      </c>
      <c r="B125" s="9">
        <v>123</v>
      </c>
      <c r="C125" s="11">
        <v>44985</v>
      </c>
      <c r="D125" s="1" t="s">
        <v>275</v>
      </c>
      <c r="E125" s="16">
        <v>32940</v>
      </c>
      <c r="F125" s="16">
        <v>5484088</v>
      </c>
      <c r="G125" s="17">
        <v>0.391666666666667</v>
      </c>
      <c r="H125" s="5" t="s">
        <v>16</v>
      </c>
      <c r="I125" s="5">
        <v>59493</v>
      </c>
      <c r="K125" s="15">
        <v>1.5</v>
      </c>
      <c r="L125" s="6">
        <f>SUMIFS(consArgamassa[Consumido (m³)],consArgamassa[RecebID],recebArgamassa[[#This Row],[RecebID]])</f>
        <v>1.5</v>
      </c>
      <c r="M125" s="18">
        <v>1.5</v>
      </c>
      <c r="N125" s="1">
        <v>464.75</v>
      </c>
      <c r="O125" s="1" t="s">
        <v>274</v>
      </c>
      <c r="P125" s="12">
        <v>36892</v>
      </c>
    </row>
    <row r="126" spans="1:16" x14ac:dyDescent="0.25">
      <c r="A126" s="7" t="str">
        <f>CONCATENATE("RCBARG",TEXT(recebArgamassa[[#This Row],[Ordem]],"00000"))</f>
        <v>RCBARG00124</v>
      </c>
      <c r="B126" s="9">
        <v>124</v>
      </c>
      <c r="C126" s="11">
        <v>44985</v>
      </c>
      <c r="D126" s="1" t="s">
        <v>275</v>
      </c>
      <c r="E126" s="16">
        <v>32940</v>
      </c>
      <c r="F126" s="16">
        <v>5484088</v>
      </c>
      <c r="G126" s="17">
        <v>0.391666666666667</v>
      </c>
      <c r="H126" s="5" t="s">
        <v>16</v>
      </c>
      <c r="I126" s="5">
        <v>59493</v>
      </c>
      <c r="K126" s="15">
        <v>3.5</v>
      </c>
      <c r="L126" s="6">
        <f>SUMIFS(consArgamassa[Consumido (m³)],consArgamassa[RecebID],recebArgamassa[[#This Row],[RecebID]])</f>
        <v>3.5</v>
      </c>
      <c r="M126" s="18">
        <v>3.5</v>
      </c>
      <c r="N126" s="1">
        <v>464.75</v>
      </c>
      <c r="O126" s="1" t="s">
        <v>274</v>
      </c>
      <c r="P126" s="12">
        <v>36892</v>
      </c>
    </row>
    <row r="127" spans="1:16" x14ac:dyDescent="0.25">
      <c r="A127" s="7" t="str">
        <f>CONCATENATE("RCBARG",TEXT(recebArgamassa[[#This Row],[Ordem]],"00000"))</f>
        <v>RCBARG00125</v>
      </c>
      <c r="B127" s="9">
        <v>125</v>
      </c>
      <c r="C127" s="11">
        <v>44985</v>
      </c>
      <c r="D127" s="1" t="s">
        <v>275</v>
      </c>
      <c r="E127" s="16">
        <v>32958</v>
      </c>
      <c r="F127" s="16">
        <v>5484083</v>
      </c>
      <c r="G127" s="17">
        <v>0.66736111111111096</v>
      </c>
      <c r="H127" s="5" t="s">
        <v>16</v>
      </c>
      <c r="I127" s="5">
        <v>59493</v>
      </c>
      <c r="K127" s="15">
        <v>5</v>
      </c>
      <c r="L127" s="6">
        <f>SUMIFS(consArgamassa[Consumido (m³)],consArgamassa[RecebID],recebArgamassa[[#This Row],[RecebID]])</f>
        <v>5</v>
      </c>
      <c r="M127" s="18">
        <v>5</v>
      </c>
      <c r="N127" s="1">
        <v>464.75</v>
      </c>
      <c r="O127" s="1" t="s">
        <v>274</v>
      </c>
      <c r="P127" s="12">
        <v>36892</v>
      </c>
    </row>
    <row r="128" spans="1:16" x14ac:dyDescent="0.25">
      <c r="A128" s="7" t="str">
        <f>CONCATENATE("RCBARG",TEXT(recebArgamassa[[#This Row],[Ordem]],"00000"))</f>
        <v>RCBARG00126</v>
      </c>
      <c r="B128" s="9">
        <v>126</v>
      </c>
      <c r="C128" s="11">
        <v>44987</v>
      </c>
      <c r="D128" s="1" t="s">
        <v>275</v>
      </c>
      <c r="E128" s="16">
        <v>32998</v>
      </c>
      <c r="F128" s="16">
        <v>5484354</v>
      </c>
      <c r="G128" s="17">
        <v>0.33472222222222198</v>
      </c>
      <c r="H128" s="5" t="s">
        <v>12</v>
      </c>
      <c r="I128" s="5">
        <v>59526</v>
      </c>
      <c r="K128" s="15">
        <v>4</v>
      </c>
      <c r="L128" s="6">
        <f>SUMIFS(consArgamassa[Consumido (m³)],consArgamassa[RecebID],recebArgamassa[[#This Row],[RecebID]])</f>
        <v>4</v>
      </c>
      <c r="M128" s="18">
        <v>4</v>
      </c>
      <c r="N128" s="1">
        <v>464.75</v>
      </c>
      <c r="O128" s="1" t="s">
        <v>274</v>
      </c>
      <c r="P128" s="12">
        <v>36892</v>
      </c>
    </row>
    <row r="129" spans="1:16" x14ac:dyDescent="0.25">
      <c r="A129" s="7" t="str">
        <f>CONCATENATE("RCBARG",TEXT(recebArgamassa[[#This Row],[Ordem]],"00000"))</f>
        <v>RCBARG00127</v>
      </c>
      <c r="B129" s="9">
        <v>127</v>
      </c>
      <c r="C129" s="11">
        <v>44987</v>
      </c>
      <c r="D129" s="1" t="s">
        <v>275</v>
      </c>
      <c r="E129" s="16">
        <v>32998</v>
      </c>
      <c r="F129" s="16">
        <v>5484354</v>
      </c>
      <c r="G129" s="17">
        <v>0.33472222222222198</v>
      </c>
      <c r="H129" s="5" t="s">
        <v>12</v>
      </c>
      <c r="I129" s="5">
        <v>59526</v>
      </c>
      <c r="K129" s="15">
        <v>1</v>
      </c>
      <c r="L129" s="6">
        <f>SUMIFS(consArgamassa[Consumido (m³)],consArgamassa[RecebID],recebArgamassa[[#This Row],[RecebID]])</f>
        <v>1</v>
      </c>
      <c r="M129" s="18">
        <v>1</v>
      </c>
      <c r="N129" s="1">
        <v>464.75</v>
      </c>
      <c r="O129" s="1" t="s">
        <v>274</v>
      </c>
      <c r="P129" s="12">
        <v>36892</v>
      </c>
    </row>
    <row r="130" spans="1:16" x14ac:dyDescent="0.25">
      <c r="A130" s="7" t="str">
        <f>CONCATENATE("RCBARG",TEXT(recebArgamassa[[#This Row],[Ordem]],"00000"))</f>
        <v>RCBARG00128</v>
      </c>
      <c r="B130" s="9">
        <v>128</v>
      </c>
      <c r="C130" s="11">
        <v>44987</v>
      </c>
      <c r="D130" s="1" t="s">
        <v>275</v>
      </c>
      <c r="E130" s="16">
        <v>32998</v>
      </c>
      <c r="F130" s="16">
        <v>5484354</v>
      </c>
      <c r="G130" s="17">
        <v>0.33472222222222198</v>
      </c>
      <c r="H130" s="5" t="s">
        <v>12</v>
      </c>
      <c r="I130" s="5">
        <v>59526</v>
      </c>
      <c r="K130" s="15">
        <v>1</v>
      </c>
      <c r="L130" s="6">
        <f>SUMIFS(consArgamassa[Consumido (m³)],consArgamassa[RecebID],recebArgamassa[[#This Row],[RecebID]])</f>
        <v>1</v>
      </c>
      <c r="M130" s="18">
        <v>1</v>
      </c>
      <c r="N130" s="1">
        <v>464.75</v>
      </c>
      <c r="O130" s="1" t="s">
        <v>274</v>
      </c>
      <c r="P130" s="12">
        <v>36892</v>
      </c>
    </row>
    <row r="131" spans="1:16" x14ac:dyDescent="0.25">
      <c r="A131" s="7" t="str">
        <f>CONCATENATE("RCBARG",TEXT(recebArgamassa[[#This Row],[Ordem]],"00000"))</f>
        <v>RCBARG00129</v>
      </c>
      <c r="B131" s="9">
        <v>129</v>
      </c>
      <c r="C131" s="11">
        <v>44988</v>
      </c>
      <c r="D131" s="1" t="s">
        <v>275</v>
      </c>
      <c r="E131" s="16">
        <v>33025</v>
      </c>
      <c r="F131" s="16">
        <v>5484771</v>
      </c>
      <c r="G131" s="17">
        <v>0.34027777777777801</v>
      </c>
      <c r="H131" s="5" t="s">
        <v>14</v>
      </c>
      <c r="I131" s="5">
        <v>59526</v>
      </c>
      <c r="K131" s="15">
        <v>4</v>
      </c>
      <c r="L131" s="6">
        <f>SUMIFS(consArgamassa[Consumido (m³)],consArgamassa[RecebID],recebArgamassa[[#This Row],[RecebID]])</f>
        <v>4</v>
      </c>
      <c r="M131" s="18">
        <v>4</v>
      </c>
      <c r="N131" s="1">
        <v>464.75</v>
      </c>
      <c r="O131" s="1" t="s">
        <v>274</v>
      </c>
      <c r="P131" s="12">
        <v>36892</v>
      </c>
    </row>
    <row r="132" spans="1:16" x14ac:dyDescent="0.25">
      <c r="A132" s="7" t="str">
        <f>CONCATENATE("RCBARG",TEXT(recebArgamassa[[#This Row],[Ordem]],"00000"))</f>
        <v>RCBARG00130</v>
      </c>
      <c r="B132" s="9">
        <v>130</v>
      </c>
      <c r="C132" s="11">
        <v>44988</v>
      </c>
      <c r="D132" s="1" t="s">
        <v>275</v>
      </c>
      <c r="E132" s="16">
        <v>33025</v>
      </c>
      <c r="F132" s="16">
        <v>5484771</v>
      </c>
      <c r="G132" s="17">
        <v>0.34027777777777801</v>
      </c>
      <c r="H132" s="5" t="s">
        <v>14</v>
      </c>
      <c r="I132" s="5">
        <v>59526</v>
      </c>
      <c r="K132" s="15">
        <v>1</v>
      </c>
      <c r="L132" s="6">
        <f>SUMIFS(consArgamassa[Consumido (m³)],consArgamassa[RecebID],recebArgamassa[[#This Row],[RecebID]])</f>
        <v>1</v>
      </c>
      <c r="M132" s="18">
        <v>1</v>
      </c>
      <c r="N132" s="1">
        <v>464.75</v>
      </c>
      <c r="O132" s="1" t="s">
        <v>274</v>
      </c>
      <c r="P132" s="12">
        <v>36892</v>
      </c>
    </row>
    <row r="133" spans="1:16" x14ac:dyDescent="0.25">
      <c r="A133" s="7" t="str">
        <f>CONCATENATE("RCBARG",TEXT(recebArgamassa[[#This Row],[Ordem]],"00000"))</f>
        <v>RCBARG00131</v>
      </c>
      <c r="B133" s="9">
        <v>131</v>
      </c>
      <c r="C133" s="11">
        <v>44988</v>
      </c>
      <c r="D133" s="1" t="s">
        <v>275</v>
      </c>
      <c r="E133" s="16">
        <v>33025</v>
      </c>
      <c r="F133" s="16">
        <v>5484771</v>
      </c>
      <c r="G133" s="17">
        <v>0.34027777777777801</v>
      </c>
      <c r="H133" s="5" t="s">
        <v>14</v>
      </c>
      <c r="I133" s="5">
        <v>59526</v>
      </c>
      <c r="K133" s="15">
        <v>1</v>
      </c>
      <c r="L133" s="6">
        <f>SUMIFS(consArgamassa[Consumido (m³)],consArgamassa[RecebID],recebArgamassa[[#This Row],[RecebID]])</f>
        <v>1</v>
      </c>
      <c r="M133" s="18">
        <v>1</v>
      </c>
      <c r="N133" s="1">
        <v>464.75</v>
      </c>
      <c r="O133" s="1" t="s">
        <v>274</v>
      </c>
      <c r="P133" s="12">
        <v>36892</v>
      </c>
    </row>
    <row r="134" spans="1:16" x14ac:dyDescent="0.25">
      <c r="A134" s="7" t="str">
        <f>CONCATENATE("RCBARG",TEXT(recebArgamassa[[#This Row],[Ordem]],"00000"))</f>
        <v>RCBARG00132</v>
      </c>
      <c r="B134" s="9">
        <v>132</v>
      </c>
      <c r="C134" s="11">
        <v>44991</v>
      </c>
      <c r="D134" s="1" t="s">
        <v>275</v>
      </c>
      <c r="E134" s="16">
        <v>33056</v>
      </c>
      <c r="F134" s="16">
        <v>5484337</v>
      </c>
      <c r="G134" s="17">
        <v>0.40486111111111101</v>
      </c>
      <c r="H134" s="5" t="s">
        <v>13</v>
      </c>
      <c r="I134" s="5">
        <v>59526</v>
      </c>
      <c r="K134" s="15">
        <v>1</v>
      </c>
      <c r="L134" s="6">
        <f>SUMIFS(consArgamassa[Consumido (m³)],consArgamassa[RecebID],recebArgamassa[[#This Row],[RecebID]])</f>
        <v>1</v>
      </c>
      <c r="M134" s="18">
        <v>1</v>
      </c>
      <c r="N134" s="1">
        <v>464.75</v>
      </c>
      <c r="O134" s="1" t="s">
        <v>274</v>
      </c>
      <c r="P134" s="12">
        <v>36892</v>
      </c>
    </row>
    <row r="135" spans="1:16" x14ac:dyDescent="0.25">
      <c r="A135" s="7" t="str">
        <f>CONCATENATE("RCBARG",TEXT(recebArgamassa[[#This Row],[Ordem]],"00000"))</f>
        <v>RCBARG00133</v>
      </c>
      <c r="B135" s="9">
        <v>133</v>
      </c>
      <c r="C135" s="11">
        <v>44991</v>
      </c>
      <c r="D135" s="1" t="s">
        <v>275</v>
      </c>
      <c r="E135" s="16">
        <v>33056</v>
      </c>
      <c r="F135" s="16">
        <v>5484337</v>
      </c>
      <c r="G135" s="17">
        <v>0.40486111111111101</v>
      </c>
      <c r="H135" s="5" t="s">
        <v>13</v>
      </c>
      <c r="I135" s="5">
        <v>59526</v>
      </c>
      <c r="K135" s="15">
        <v>0.5</v>
      </c>
      <c r="L135" s="6">
        <f>SUMIFS(consArgamassa[Consumido (m³)],consArgamassa[RecebID],recebArgamassa[[#This Row],[RecebID]])</f>
        <v>0.5</v>
      </c>
      <c r="M135" s="18">
        <v>0.5</v>
      </c>
      <c r="N135" s="1">
        <v>464.75</v>
      </c>
      <c r="O135" s="1" t="s">
        <v>274</v>
      </c>
      <c r="P135" s="12">
        <v>36892</v>
      </c>
    </row>
    <row r="136" spans="1:16" x14ac:dyDescent="0.25">
      <c r="A136" s="7" t="str">
        <f>CONCATENATE("RCBARG",TEXT(recebArgamassa[[#This Row],[Ordem]],"00000"))</f>
        <v>RCBARG00134</v>
      </c>
      <c r="B136" s="9">
        <v>134</v>
      </c>
      <c r="C136" s="11">
        <v>44991</v>
      </c>
      <c r="D136" s="1" t="s">
        <v>275</v>
      </c>
      <c r="E136" s="16">
        <v>33056</v>
      </c>
      <c r="F136" s="16">
        <v>5484337</v>
      </c>
      <c r="G136" s="17">
        <v>0.40486111111111101</v>
      </c>
      <c r="H136" s="5" t="s">
        <v>13</v>
      </c>
      <c r="I136" s="5">
        <v>59526</v>
      </c>
      <c r="K136" s="15">
        <v>1</v>
      </c>
      <c r="L136" s="6">
        <f>SUMIFS(consArgamassa[Consumido (m³)],consArgamassa[RecebID],recebArgamassa[[#This Row],[RecebID]])</f>
        <v>1</v>
      </c>
      <c r="M136" s="18">
        <v>1</v>
      </c>
      <c r="N136" s="1">
        <v>464.75</v>
      </c>
      <c r="O136" s="1" t="s">
        <v>274</v>
      </c>
      <c r="P136" s="12">
        <v>36892</v>
      </c>
    </row>
    <row r="137" spans="1:16" x14ac:dyDescent="0.25">
      <c r="A137" s="7" t="str">
        <f>CONCATENATE("RCBARG",TEXT(recebArgamassa[[#This Row],[Ordem]],"00000"))</f>
        <v>RCBARG00135</v>
      </c>
      <c r="B137" s="9">
        <v>135</v>
      </c>
      <c r="C137" s="11">
        <v>44991</v>
      </c>
      <c r="D137" s="1" t="s">
        <v>275</v>
      </c>
      <c r="E137" s="16">
        <v>33056</v>
      </c>
      <c r="F137" s="16">
        <v>5484337</v>
      </c>
      <c r="G137" s="17">
        <v>0.40486111111111101</v>
      </c>
      <c r="H137" s="5" t="s">
        <v>13</v>
      </c>
      <c r="I137" s="5">
        <v>59526</v>
      </c>
      <c r="K137" s="15">
        <v>1.5</v>
      </c>
      <c r="L137" s="6">
        <f>SUMIFS(consArgamassa[Consumido (m³)],consArgamassa[RecebID],recebArgamassa[[#This Row],[RecebID]])</f>
        <v>1.5</v>
      </c>
      <c r="M137" s="18">
        <v>1.5</v>
      </c>
      <c r="N137" s="1">
        <v>464.75</v>
      </c>
      <c r="O137" s="1" t="s">
        <v>274</v>
      </c>
      <c r="P137" s="12">
        <v>36892</v>
      </c>
    </row>
    <row r="138" spans="1:16" x14ac:dyDescent="0.25">
      <c r="A138" s="7" t="str">
        <f>CONCATENATE("RCBARG",TEXT(recebArgamassa[[#This Row],[Ordem]],"00000"))</f>
        <v>RCBARG00136</v>
      </c>
      <c r="B138" s="9">
        <v>136</v>
      </c>
      <c r="C138" s="11">
        <v>44991</v>
      </c>
      <c r="D138" s="1" t="s">
        <v>275</v>
      </c>
      <c r="E138" s="16">
        <v>33056</v>
      </c>
      <c r="F138" s="16">
        <v>5484337</v>
      </c>
      <c r="G138" s="17">
        <v>0.40486111111111101</v>
      </c>
      <c r="H138" s="5" t="s">
        <v>13</v>
      </c>
      <c r="I138" s="5">
        <v>59526</v>
      </c>
      <c r="K138" s="15">
        <v>1</v>
      </c>
      <c r="L138" s="6">
        <f>SUMIFS(consArgamassa[Consumido (m³)],consArgamassa[RecebID],recebArgamassa[[#This Row],[RecebID]])</f>
        <v>1</v>
      </c>
      <c r="M138" s="18">
        <v>1</v>
      </c>
      <c r="N138" s="1">
        <v>464.75</v>
      </c>
      <c r="O138" s="1" t="s">
        <v>274</v>
      </c>
      <c r="P138" s="12">
        <v>36892</v>
      </c>
    </row>
    <row r="139" spans="1:16" x14ac:dyDescent="0.25">
      <c r="A139" s="7" t="str">
        <f>CONCATENATE("RCBARG",TEXT(recebArgamassa[[#This Row],[Ordem]],"00000"))</f>
        <v>RCBARG00137</v>
      </c>
      <c r="B139" s="9">
        <v>137</v>
      </c>
      <c r="C139" s="11">
        <v>44991</v>
      </c>
      <c r="D139" s="1" t="s">
        <v>275</v>
      </c>
      <c r="E139" s="16">
        <v>33056</v>
      </c>
      <c r="F139" s="16">
        <v>5484337</v>
      </c>
      <c r="G139" s="17">
        <v>0.40486111111111101</v>
      </c>
      <c r="H139" s="5" t="s">
        <v>13</v>
      </c>
      <c r="I139" s="5">
        <v>59526</v>
      </c>
      <c r="K139" s="15">
        <v>1</v>
      </c>
      <c r="L139" s="6">
        <f>SUMIFS(consArgamassa[Consumido (m³)],consArgamassa[RecebID],recebArgamassa[[#This Row],[RecebID]])</f>
        <v>1</v>
      </c>
      <c r="M139" s="18">
        <v>1</v>
      </c>
      <c r="N139" s="1">
        <v>464.75</v>
      </c>
      <c r="O139" s="1" t="s">
        <v>274</v>
      </c>
      <c r="P139" s="12">
        <v>36892</v>
      </c>
    </row>
    <row r="140" spans="1:16" x14ac:dyDescent="0.25">
      <c r="A140" s="7" t="str">
        <f>CONCATENATE("RCBARG",TEXT(recebArgamassa[[#This Row],[Ordem]],"00000"))</f>
        <v>RCBARG00138</v>
      </c>
      <c r="B140" s="9">
        <v>138</v>
      </c>
      <c r="C140" s="11">
        <v>44992</v>
      </c>
      <c r="D140" s="1" t="s">
        <v>275</v>
      </c>
      <c r="E140" s="16">
        <v>33070</v>
      </c>
      <c r="F140" s="16">
        <v>5484329</v>
      </c>
      <c r="G140" s="17">
        <v>0.34513888888888899</v>
      </c>
      <c r="H140" s="5" t="s">
        <v>17</v>
      </c>
      <c r="I140" s="5">
        <v>59526</v>
      </c>
      <c r="K140" s="15">
        <v>1</v>
      </c>
      <c r="L140" s="6">
        <f>SUMIFS(consArgamassa[Consumido (m³)],consArgamassa[RecebID],recebArgamassa[[#This Row],[RecebID]])</f>
        <v>1</v>
      </c>
      <c r="M140" s="18">
        <v>1</v>
      </c>
      <c r="N140" s="1">
        <v>464.75</v>
      </c>
      <c r="O140" s="1" t="s">
        <v>274</v>
      </c>
      <c r="P140" s="12">
        <v>36892</v>
      </c>
    </row>
    <row r="141" spans="1:16" x14ac:dyDescent="0.25">
      <c r="A141" s="7" t="str">
        <f>CONCATENATE("RCBARG",TEXT(recebArgamassa[[#This Row],[Ordem]],"00000"))</f>
        <v>RCBARG00139</v>
      </c>
      <c r="B141" s="9">
        <v>139</v>
      </c>
      <c r="C141" s="11">
        <v>44992</v>
      </c>
      <c r="D141" s="1" t="s">
        <v>275</v>
      </c>
      <c r="E141" s="16">
        <v>33070</v>
      </c>
      <c r="F141" s="16">
        <v>5484329</v>
      </c>
      <c r="G141" s="17">
        <v>0.34513888888888899</v>
      </c>
      <c r="H141" s="5" t="s">
        <v>17</v>
      </c>
      <c r="I141" s="5">
        <v>59526</v>
      </c>
      <c r="K141" s="15">
        <v>2</v>
      </c>
      <c r="L141" s="6">
        <f>SUMIFS(consArgamassa[Consumido (m³)],consArgamassa[RecebID],recebArgamassa[[#This Row],[RecebID]])</f>
        <v>2</v>
      </c>
      <c r="M141" s="18">
        <v>2</v>
      </c>
      <c r="N141" s="1">
        <v>464.75</v>
      </c>
      <c r="O141" s="1" t="s">
        <v>274</v>
      </c>
      <c r="P141" s="12">
        <v>36892</v>
      </c>
    </row>
    <row r="142" spans="1:16" x14ac:dyDescent="0.25">
      <c r="A142" s="7" t="str">
        <f>CONCATENATE("RCBARG",TEXT(recebArgamassa[[#This Row],[Ordem]],"00000"))</f>
        <v>RCBARG00140</v>
      </c>
      <c r="B142" s="9">
        <v>140</v>
      </c>
      <c r="C142" s="11">
        <v>44992</v>
      </c>
      <c r="D142" s="1" t="s">
        <v>275</v>
      </c>
      <c r="E142" s="16">
        <v>33070</v>
      </c>
      <c r="F142" s="16">
        <v>5484329</v>
      </c>
      <c r="G142" s="17">
        <v>0.34513888888888899</v>
      </c>
      <c r="H142" s="5" t="s">
        <v>17</v>
      </c>
      <c r="I142" s="5">
        <v>59526</v>
      </c>
      <c r="K142" s="15">
        <v>1</v>
      </c>
      <c r="L142" s="6">
        <f>SUMIFS(consArgamassa[Consumido (m³)],consArgamassa[RecebID],recebArgamassa[[#This Row],[RecebID]])</f>
        <v>1</v>
      </c>
      <c r="M142" s="18">
        <v>1</v>
      </c>
      <c r="N142" s="1">
        <v>464.75</v>
      </c>
      <c r="O142" s="1" t="s">
        <v>274</v>
      </c>
      <c r="P142" s="12">
        <v>36892</v>
      </c>
    </row>
    <row r="143" spans="1:16" x14ac:dyDescent="0.25">
      <c r="A143" s="7" t="str">
        <f>CONCATENATE("RCBARG",TEXT(recebArgamassa[[#This Row],[Ordem]],"00000"))</f>
        <v>RCBARG00141</v>
      </c>
      <c r="B143" s="9">
        <v>141</v>
      </c>
      <c r="C143" s="11">
        <v>44992</v>
      </c>
      <c r="D143" s="1" t="s">
        <v>275</v>
      </c>
      <c r="E143" s="16">
        <v>33070</v>
      </c>
      <c r="F143" s="16">
        <v>5484329</v>
      </c>
      <c r="G143" s="17">
        <v>0.34513888888888899</v>
      </c>
      <c r="H143" s="5" t="s">
        <v>17</v>
      </c>
      <c r="I143" s="5">
        <v>59526</v>
      </c>
      <c r="K143" s="15">
        <v>1</v>
      </c>
      <c r="L143" s="6">
        <f>SUMIFS(consArgamassa[Consumido (m³)],consArgamassa[RecebID],recebArgamassa[[#This Row],[RecebID]])</f>
        <v>1</v>
      </c>
      <c r="M143" s="18">
        <v>1</v>
      </c>
      <c r="N143" s="1">
        <v>464.75</v>
      </c>
      <c r="O143" s="1" t="s">
        <v>274</v>
      </c>
      <c r="P143" s="12">
        <v>36892</v>
      </c>
    </row>
    <row r="144" spans="1:16" x14ac:dyDescent="0.25">
      <c r="A144" s="7" t="str">
        <f>CONCATENATE("RCBARG",TEXT(recebArgamassa[[#This Row],[Ordem]],"00000"))</f>
        <v>RCBARG00142</v>
      </c>
      <c r="B144" s="9">
        <v>142</v>
      </c>
      <c r="C144" s="11">
        <v>44993</v>
      </c>
      <c r="D144" s="1" t="s">
        <v>275</v>
      </c>
      <c r="E144" s="16">
        <v>33085</v>
      </c>
      <c r="F144" s="16">
        <v>5484290</v>
      </c>
      <c r="G144" s="17">
        <v>0.40138888888888902</v>
      </c>
      <c r="H144" s="5" t="s">
        <v>13</v>
      </c>
      <c r="I144" s="5">
        <v>59526</v>
      </c>
      <c r="K144" s="15">
        <v>2</v>
      </c>
      <c r="L144" s="6">
        <f>SUMIFS(consArgamassa[Consumido (m³)],consArgamassa[RecebID],recebArgamassa[[#This Row],[RecebID]])</f>
        <v>2</v>
      </c>
      <c r="M144" s="18">
        <v>2</v>
      </c>
      <c r="N144" s="1">
        <v>464.75</v>
      </c>
      <c r="O144" s="1" t="s">
        <v>274</v>
      </c>
      <c r="P144" s="12">
        <v>36892</v>
      </c>
    </row>
    <row r="145" spans="1:16" x14ac:dyDescent="0.25">
      <c r="A145" s="7" t="str">
        <f>CONCATENATE("RCBARG",TEXT(recebArgamassa[[#This Row],[Ordem]],"00000"))</f>
        <v>RCBARG00143</v>
      </c>
      <c r="B145" s="9">
        <v>143</v>
      </c>
      <c r="C145" s="11">
        <v>44993</v>
      </c>
      <c r="D145" s="1" t="s">
        <v>275</v>
      </c>
      <c r="E145" s="16">
        <v>33085</v>
      </c>
      <c r="F145" s="16">
        <v>5484290</v>
      </c>
      <c r="G145" s="17">
        <v>0.40138888888888902</v>
      </c>
      <c r="H145" s="5" t="s">
        <v>13</v>
      </c>
      <c r="I145" s="5">
        <v>59526</v>
      </c>
      <c r="K145" s="15">
        <v>0.5</v>
      </c>
      <c r="L145" s="6">
        <f>SUMIFS(consArgamassa[Consumido (m³)],consArgamassa[RecebID],recebArgamassa[[#This Row],[RecebID]])</f>
        <v>0.5</v>
      </c>
      <c r="M145" s="18">
        <v>0.5</v>
      </c>
      <c r="N145" s="1">
        <v>464.75</v>
      </c>
      <c r="O145" s="1" t="s">
        <v>274</v>
      </c>
      <c r="P145" s="12">
        <v>36892</v>
      </c>
    </row>
    <row r="146" spans="1:16" x14ac:dyDescent="0.25">
      <c r="A146" s="7" t="str">
        <f>CONCATENATE("RCBARG",TEXT(recebArgamassa[[#This Row],[Ordem]],"00000"))</f>
        <v>RCBARG00144</v>
      </c>
      <c r="B146" s="9">
        <v>144</v>
      </c>
      <c r="C146" s="11">
        <v>44993</v>
      </c>
      <c r="D146" s="1" t="s">
        <v>275</v>
      </c>
      <c r="E146" s="16">
        <v>33085</v>
      </c>
      <c r="F146" s="16">
        <v>5484290</v>
      </c>
      <c r="G146" s="17">
        <v>0.40138888888888902</v>
      </c>
      <c r="H146" s="5" t="s">
        <v>13</v>
      </c>
      <c r="I146" s="5">
        <v>59526</v>
      </c>
      <c r="K146" s="15">
        <v>0.5</v>
      </c>
      <c r="L146" s="6">
        <f>SUMIFS(consArgamassa[Consumido (m³)],consArgamassa[RecebID],recebArgamassa[[#This Row],[RecebID]])</f>
        <v>0.5</v>
      </c>
      <c r="M146" s="18">
        <v>0.5</v>
      </c>
      <c r="N146" s="1">
        <v>464.75</v>
      </c>
      <c r="O146" s="1" t="s">
        <v>274</v>
      </c>
      <c r="P146" s="12">
        <v>36892</v>
      </c>
    </row>
    <row r="147" spans="1:16" x14ac:dyDescent="0.25">
      <c r="A147" s="7" t="str">
        <f>CONCATENATE("RCBARG",TEXT(recebArgamassa[[#This Row],[Ordem]],"00000"))</f>
        <v>RCBARG00145</v>
      </c>
      <c r="B147" s="9">
        <v>145</v>
      </c>
      <c r="C147" s="11">
        <v>44993</v>
      </c>
      <c r="D147" s="1" t="s">
        <v>275</v>
      </c>
      <c r="E147" s="16">
        <v>33085</v>
      </c>
      <c r="F147" s="16">
        <v>5484290</v>
      </c>
      <c r="G147" s="17">
        <v>0.40138888888888902</v>
      </c>
      <c r="H147" s="5" t="s">
        <v>13</v>
      </c>
      <c r="I147" s="5">
        <v>59526</v>
      </c>
      <c r="K147" s="15">
        <v>0.5</v>
      </c>
      <c r="L147" s="6">
        <f>SUMIFS(consArgamassa[Consumido (m³)],consArgamassa[RecebID],recebArgamassa[[#This Row],[RecebID]])</f>
        <v>0.5</v>
      </c>
      <c r="M147" s="18">
        <v>0.5</v>
      </c>
      <c r="N147" s="1">
        <v>464.75</v>
      </c>
      <c r="O147" s="1" t="s">
        <v>274</v>
      </c>
      <c r="P147" s="12">
        <v>36892</v>
      </c>
    </row>
    <row r="148" spans="1:16" x14ac:dyDescent="0.25">
      <c r="A148" s="7" t="str">
        <f>CONCATENATE("RCBARG",TEXT(recebArgamassa[[#This Row],[Ordem]],"00000"))</f>
        <v>RCBARG00146</v>
      </c>
      <c r="B148" s="9">
        <v>146</v>
      </c>
      <c r="C148" s="11">
        <v>44993</v>
      </c>
      <c r="D148" s="1" t="s">
        <v>275</v>
      </c>
      <c r="E148" s="16">
        <v>33085</v>
      </c>
      <c r="F148" s="16">
        <v>5484290</v>
      </c>
      <c r="G148" s="17">
        <v>0.40138888888888902</v>
      </c>
      <c r="H148" s="5" t="s">
        <v>13</v>
      </c>
      <c r="I148" s="5">
        <v>59526</v>
      </c>
      <c r="K148" s="15">
        <v>0.5</v>
      </c>
      <c r="L148" s="6">
        <f>SUMIFS(consArgamassa[Consumido (m³)],consArgamassa[RecebID],recebArgamassa[[#This Row],[RecebID]])</f>
        <v>0.5</v>
      </c>
      <c r="M148" s="18">
        <v>0.5</v>
      </c>
      <c r="N148" s="1">
        <v>464.75</v>
      </c>
      <c r="O148" s="1" t="s">
        <v>274</v>
      </c>
      <c r="P148" s="12">
        <v>36892</v>
      </c>
    </row>
    <row r="149" spans="1:16" x14ac:dyDescent="0.25">
      <c r="A149" s="7" t="str">
        <f>CONCATENATE("RCBARG",TEXT(recebArgamassa[[#This Row],[Ordem]],"00000"))</f>
        <v>RCBARG00147</v>
      </c>
      <c r="B149" s="9">
        <v>147</v>
      </c>
      <c r="C149" s="11">
        <v>44993</v>
      </c>
      <c r="D149" s="1" t="s">
        <v>275</v>
      </c>
      <c r="E149" s="16">
        <v>33085</v>
      </c>
      <c r="F149" s="16">
        <v>5484290</v>
      </c>
      <c r="G149" s="17">
        <v>0.40138888888888902</v>
      </c>
      <c r="H149" s="5" t="s">
        <v>13</v>
      </c>
      <c r="I149" s="5">
        <v>59526</v>
      </c>
      <c r="K149" s="15">
        <v>1</v>
      </c>
      <c r="L149" s="6">
        <f>SUMIFS(consArgamassa[Consumido (m³)],consArgamassa[RecebID],recebArgamassa[[#This Row],[RecebID]])</f>
        <v>1</v>
      </c>
      <c r="M149" s="18">
        <v>1</v>
      </c>
      <c r="N149" s="1">
        <v>464.75</v>
      </c>
      <c r="O149" s="1" t="s">
        <v>274</v>
      </c>
      <c r="P149" s="12">
        <v>36892</v>
      </c>
    </row>
    <row r="150" spans="1:16" x14ac:dyDescent="0.25">
      <c r="A150" s="7" t="str">
        <f>CONCATENATE("RCBARG",TEXT(recebArgamassa[[#This Row],[Ordem]],"00000"))</f>
        <v>RCBARG00148</v>
      </c>
      <c r="B150" s="9">
        <v>148</v>
      </c>
      <c r="C150" s="11">
        <v>44994</v>
      </c>
      <c r="D150" s="1" t="s">
        <v>275</v>
      </c>
      <c r="E150" s="16">
        <v>33096</v>
      </c>
      <c r="F150" s="16">
        <v>5484305</v>
      </c>
      <c r="G150" s="17">
        <v>0.33541666666666697</v>
      </c>
      <c r="H150" s="5" t="s">
        <v>17</v>
      </c>
      <c r="I150" s="5">
        <v>59526</v>
      </c>
      <c r="K150" s="15">
        <v>1</v>
      </c>
      <c r="L150" s="6">
        <f>SUMIFS(consArgamassa[Consumido (m³)],consArgamassa[RecebID],recebArgamassa[[#This Row],[RecebID]])</f>
        <v>1</v>
      </c>
      <c r="M150" s="18">
        <v>1</v>
      </c>
      <c r="N150" s="1">
        <v>464.75</v>
      </c>
      <c r="O150" s="1" t="s">
        <v>274</v>
      </c>
      <c r="P150" s="12">
        <v>36892</v>
      </c>
    </row>
    <row r="151" spans="1:16" x14ac:dyDescent="0.25">
      <c r="A151" s="7" t="str">
        <f>CONCATENATE("RCBARG",TEXT(recebArgamassa[[#This Row],[Ordem]],"00000"))</f>
        <v>RCBARG00149</v>
      </c>
      <c r="B151" s="9">
        <v>149</v>
      </c>
      <c r="C151" s="11">
        <v>44994</v>
      </c>
      <c r="D151" s="1" t="s">
        <v>275</v>
      </c>
      <c r="E151" s="16">
        <v>33096</v>
      </c>
      <c r="F151" s="16">
        <v>5484305</v>
      </c>
      <c r="G151" s="17">
        <v>0.33541666666666697</v>
      </c>
      <c r="H151" s="5" t="s">
        <v>17</v>
      </c>
      <c r="I151" s="5">
        <v>59526</v>
      </c>
      <c r="K151" s="15">
        <v>0.5</v>
      </c>
      <c r="L151" s="6">
        <f>SUMIFS(consArgamassa[Consumido (m³)],consArgamassa[RecebID],recebArgamassa[[#This Row],[RecebID]])</f>
        <v>0.5</v>
      </c>
      <c r="M151" s="18">
        <v>0.5</v>
      </c>
      <c r="N151" s="1">
        <v>464.75</v>
      </c>
      <c r="O151" s="1" t="s">
        <v>274</v>
      </c>
      <c r="P151" s="12">
        <v>36892</v>
      </c>
    </row>
    <row r="152" spans="1:16" x14ac:dyDescent="0.25">
      <c r="A152" s="7" t="str">
        <f>CONCATENATE("RCBARG",TEXT(recebArgamassa[[#This Row],[Ordem]],"00000"))</f>
        <v>RCBARG00150</v>
      </c>
      <c r="B152" s="9">
        <v>150</v>
      </c>
      <c r="C152" s="11">
        <v>44994</v>
      </c>
      <c r="D152" s="1" t="s">
        <v>275</v>
      </c>
      <c r="E152" s="16">
        <v>33096</v>
      </c>
      <c r="F152" s="16">
        <v>5484305</v>
      </c>
      <c r="G152" s="17">
        <v>0.33541666666666697</v>
      </c>
      <c r="H152" s="5" t="s">
        <v>17</v>
      </c>
      <c r="I152" s="5">
        <v>59526</v>
      </c>
      <c r="K152" s="15">
        <v>0.5</v>
      </c>
      <c r="L152" s="6">
        <f>SUMIFS(consArgamassa[Consumido (m³)],consArgamassa[RecebID],recebArgamassa[[#This Row],[RecebID]])</f>
        <v>0.5</v>
      </c>
      <c r="M152" s="18">
        <v>0.5</v>
      </c>
      <c r="N152" s="1">
        <v>464.75</v>
      </c>
      <c r="O152" s="1" t="s">
        <v>274</v>
      </c>
      <c r="P152" s="12">
        <v>36892</v>
      </c>
    </row>
    <row r="153" spans="1:16" x14ac:dyDescent="0.25">
      <c r="A153" s="7" t="str">
        <f>CONCATENATE("RCBARG",TEXT(recebArgamassa[[#This Row],[Ordem]],"00000"))</f>
        <v>RCBARG00151</v>
      </c>
      <c r="B153" s="9">
        <v>151</v>
      </c>
      <c r="C153" s="11">
        <v>44994</v>
      </c>
      <c r="D153" s="1" t="s">
        <v>275</v>
      </c>
      <c r="E153" s="16">
        <v>33096</v>
      </c>
      <c r="F153" s="16">
        <v>5484305</v>
      </c>
      <c r="G153" s="17">
        <v>0.33541666666666697</v>
      </c>
      <c r="H153" s="5" t="s">
        <v>17</v>
      </c>
      <c r="I153" s="5">
        <v>59526</v>
      </c>
      <c r="K153" s="15">
        <v>2</v>
      </c>
      <c r="L153" s="6">
        <f>SUMIFS(consArgamassa[Consumido (m³)],consArgamassa[RecebID],recebArgamassa[[#This Row],[RecebID]])</f>
        <v>2</v>
      </c>
      <c r="M153" s="18">
        <v>2</v>
      </c>
      <c r="N153" s="1">
        <v>464.75</v>
      </c>
      <c r="O153" s="1" t="s">
        <v>274</v>
      </c>
      <c r="P153" s="12">
        <v>36892</v>
      </c>
    </row>
    <row r="154" spans="1:16" x14ac:dyDescent="0.25">
      <c r="A154" s="7" t="str">
        <f>CONCATENATE("RCBARG",TEXT(recebArgamassa[[#This Row],[Ordem]],"00000"))</f>
        <v>RCBARG00152</v>
      </c>
      <c r="B154" s="9">
        <v>152</v>
      </c>
      <c r="C154" s="11">
        <v>44994</v>
      </c>
      <c r="D154" s="1" t="s">
        <v>275</v>
      </c>
      <c r="E154" s="16">
        <v>33096</v>
      </c>
      <c r="F154" s="16">
        <v>5484305</v>
      </c>
      <c r="G154" s="17">
        <v>0.33541666666666697</v>
      </c>
      <c r="H154" s="5" t="s">
        <v>17</v>
      </c>
      <c r="I154" s="5">
        <v>59526</v>
      </c>
      <c r="K154" s="15">
        <v>0.5</v>
      </c>
      <c r="L154" s="6">
        <f>SUMIFS(consArgamassa[Consumido (m³)],consArgamassa[RecebID],recebArgamassa[[#This Row],[RecebID]])</f>
        <v>0.5</v>
      </c>
      <c r="M154" s="18">
        <v>0.5</v>
      </c>
      <c r="N154" s="1">
        <v>464.75</v>
      </c>
      <c r="O154" s="1" t="s">
        <v>274</v>
      </c>
      <c r="P154" s="12">
        <v>36892</v>
      </c>
    </row>
    <row r="155" spans="1:16" x14ac:dyDescent="0.25">
      <c r="A155" s="7" t="str">
        <f>CONCATENATE("RCBARG",TEXT(recebArgamassa[[#This Row],[Ordem]],"00000"))</f>
        <v>RCBARG00153</v>
      </c>
      <c r="B155" s="9">
        <v>153</v>
      </c>
      <c r="C155" s="11">
        <v>44994</v>
      </c>
      <c r="D155" s="1" t="s">
        <v>275</v>
      </c>
      <c r="E155" s="16">
        <v>33096</v>
      </c>
      <c r="F155" s="16">
        <v>5484305</v>
      </c>
      <c r="G155" s="17">
        <v>0.33541666666666697</v>
      </c>
      <c r="H155" s="5" t="s">
        <v>17</v>
      </c>
      <c r="I155" s="5">
        <v>59526</v>
      </c>
      <c r="K155" s="15">
        <v>0.5</v>
      </c>
      <c r="L155" s="6">
        <f>SUMIFS(consArgamassa[Consumido (m³)],consArgamassa[RecebID],recebArgamassa[[#This Row],[RecebID]])</f>
        <v>0.5</v>
      </c>
      <c r="M155" s="18">
        <v>0.5</v>
      </c>
      <c r="N155" s="1">
        <v>464.75</v>
      </c>
      <c r="O155" s="1" t="s">
        <v>274</v>
      </c>
      <c r="P155" s="12">
        <v>36892</v>
      </c>
    </row>
    <row r="156" spans="1:16" x14ac:dyDescent="0.25">
      <c r="A156" s="7" t="str">
        <f>CONCATENATE("RCBARG",TEXT(recebArgamassa[[#This Row],[Ordem]],"00000"))</f>
        <v>RCBARG00154</v>
      </c>
      <c r="B156" s="9">
        <v>154</v>
      </c>
      <c r="C156" s="11">
        <v>44994</v>
      </c>
      <c r="D156" s="1" t="s">
        <v>275</v>
      </c>
      <c r="E156" s="16">
        <v>33111</v>
      </c>
      <c r="F156" s="16">
        <v>5484903</v>
      </c>
      <c r="G156" s="17">
        <v>0.63749999999999996</v>
      </c>
      <c r="H156" s="5" t="s">
        <v>15</v>
      </c>
      <c r="I156" s="5">
        <v>59526</v>
      </c>
      <c r="K156" s="15">
        <v>1</v>
      </c>
      <c r="L156" s="6">
        <f>SUMIFS(consArgamassa[Consumido (m³)],consArgamassa[RecebID],recebArgamassa[[#This Row],[RecebID]])</f>
        <v>1</v>
      </c>
      <c r="M156" s="18">
        <v>1</v>
      </c>
      <c r="N156" s="1">
        <v>464.75</v>
      </c>
      <c r="O156" s="1" t="s">
        <v>274</v>
      </c>
      <c r="P156" s="12">
        <v>36892</v>
      </c>
    </row>
    <row r="157" spans="1:16" x14ac:dyDescent="0.25">
      <c r="A157" s="7" t="str">
        <f>CONCATENATE("RCBARG",TEXT(recebArgamassa[[#This Row],[Ordem]],"00000"))</f>
        <v>RCBARG00155</v>
      </c>
      <c r="B157" s="9">
        <v>155</v>
      </c>
      <c r="C157" s="11">
        <v>44994</v>
      </c>
      <c r="D157" s="1" t="s">
        <v>275</v>
      </c>
      <c r="E157" s="16">
        <v>33111</v>
      </c>
      <c r="F157" s="16">
        <v>5484903</v>
      </c>
      <c r="G157" s="17">
        <v>0.63749999999999996</v>
      </c>
      <c r="H157" s="5" t="s">
        <v>15</v>
      </c>
      <c r="I157" s="5">
        <v>59526</v>
      </c>
      <c r="K157" s="15">
        <v>3</v>
      </c>
      <c r="L157" s="6">
        <f>SUMIFS(consArgamassa[Consumido (m³)],consArgamassa[RecebID],recebArgamassa[[#This Row],[RecebID]])</f>
        <v>3</v>
      </c>
      <c r="M157" s="18">
        <v>3</v>
      </c>
      <c r="N157" s="1">
        <v>464.75</v>
      </c>
      <c r="O157" s="1" t="s">
        <v>274</v>
      </c>
      <c r="P157" s="12">
        <v>36892</v>
      </c>
    </row>
    <row r="158" spans="1:16" x14ac:dyDescent="0.25">
      <c r="A158" s="7" t="str">
        <f>CONCATENATE("RCBARG",TEXT(recebArgamassa[[#This Row],[Ordem]],"00000"))</f>
        <v>RCBARG00156</v>
      </c>
      <c r="B158" s="9">
        <v>156</v>
      </c>
      <c r="C158" s="11">
        <v>44994</v>
      </c>
      <c r="D158" s="1" t="s">
        <v>275</v>
      </c>
      <c r="E158" s="16">
        <v>33111</v>
      </c>
      <c r="F158" s="16">
        <v>5484903</v>
      </c>
      <c r="G158" s="17">
        <v>0.63749999999999996</v>
      </c>
      <c r="H158" s="5" t="s">
        <v>15</v>
      </c>
      <c r="I158" s="5">
        <v>59526</v>
      </c>
      <c r="K158" s="15">
        <v>1</v>
      </c>
      <c r="L158" s="6">
        <f>SUMIFS(consArgamassa[Consumido (m³)],consArgamassa[RecebID],recebArgamassa[[#This Row],[RecebID]])</f>
        <v>1</v>
      </c>
      <c r="M158" s="18">
        <v>1</v>
      </c>
      <c r="N158" s="1">
        <v>464.75</v>
      </c>
      <c r="O158" s="1" t="s">
        <v>274</v>
      </c>
      <c r="P158" s="12">
        <v>36892</v>
      </c>
    </row>
    <row r="159" spans="1:16" x14ac:dyDescent="0.25">
      <c r="A159" s="7" t="str">
        <f>CONCATENATE("RCBARG",TEXT(recebArgamassa[[#This Row],[Ordem]],"00000"))</f>
        <v>RCBARG00157</v>
      </c>
      <c r="B159" s="9">
        <v>157</v>
      </c>
      <c r="C159" s="11">
        <v>44994</v>
      </c>
      <c r="D159" s="1" t="s">
        <v>275</v>
      </c>
      <c r="E159" s="16">
        <v>33111</v>
      </c>
      <c r="F159" s="16">
        <v>5484903</v>
      </c>
      <c r="G159" s="17">
        <v>0.63749999999999996</v>
      </c>
      <c r="H159" s="5" t="s">
        <v>15</v>
      </c>
      <c r="I159" s="5">
        <v>59526</v>
      </c>
      <c r="K159" s="15">
        <v>1</v>
      </c>
      <c r="L159" s="6">
        <f>SUMIFS(consArgamassa[Consumido (m³)],consArgamassa[RecebID],recebArgamassa[[#This Row],[RecebID]])</f>
        <v>1</v>
      </c>
      <c r="M159" s="18">
        <v>1</v>
      </c>
      <c r="N159" s="1">
        <v>464.75</v>
      </c>
      <c r="O159" s="1" t="s">
        <v>274</v>
      </c>
      <c r="P159" s="12">
        <v>36892</v>
      </c>
    </row>
    <row r="160" spans="1:16" x14ac:dyDescent="0.25">
      <c r="A160" s="7" t="str">
        <f>CONCATENATE("RCBARG",TEXT(recebArgamassa[[#This Row],[Ordem]],"00000"))</f>
        <v>RCBARG00158</v>
      </c>
      <c r="B160" s="9">
        <v>158</v>
      </c>
      <c r="C160" s="11">
        <v>44994</v>
      </c>
      <c r="D160" s="1" t="s">
        <v>275</v>
      </c>
      <c r="E160" s="16">
        <v>33111</v>
      </c>
      <c r="F160" s="16">
        <v>5484903</v>
      </c>
      <c r="G160" s="17">
        <v>0.63749999999999996</v>
      </c>
      <c r="H160" s="5" t="s">
        <v>15</v>
      </c>
      <c r="I160" s="5">
        <v>59526</v>
      </c>
      <c r="K160" s="15">
        <v>0.5</v>
      </c>
      <c r="L160" s="6">
        <f>SUMIFS(consArgamassa[Consumido (m³)],consArgamassa[RecebID],recebArgamassa[[#This Row],[RecebID]])</f>
        <v>0.5</v>
      </c>
      <c r="M160" s="18">
        <v>0.5</v>
      </c>
      <c r="N160" s="1">
        <v>464.75</v>
      </c>
      <c r="O160" s="1" t="s">
        <v>274</v>
      </c>
      <c r="P160" s="12">
        <v>36892</v>
      </c>
    </row>
    <row r="161" spans="1:16" x14ac:dyDescent="0.25">
      <c r="A161" s="7" t="str">
        <f>CONCATENATE("RCBARG",TEXT(recebArgamassa[[#This Row],[Ordem]],"00000"))</f>
        <v>RCBARG00159</v>
      </c>
      <c r="B161" s="9">
        <v>159</v>
      </c>
      <c r="C161" s="11">
        <v>44994</v>
      </c>
      <c r="D161" s="1" t="s">
        <v>275</v>
      </c>
      <c r="E161" s="16">
        <v>33111</v>
      </c>
      <c r="F161" s="16">
        <v>5484903</v>
      </c>
      <c r="G161" s="17">
        <v>0.63749999999999996</v>
      </c>
      <c r="H161" s="5" t="s">
        <v>15</v>
      </c>
      <c r="I161" s="5">
        <v>59526</v>
      </c>
      <c r="K161" s="15">
        <v>0.5</v>
      </c>
      <c r="L161" s="6">
        <f>SUMIFS(consArgamassa[Consumido (m³)],consArgamassa[RecebID],recebArgamassa[[#This Row],[RecebID]])</f>
        <v>0.5</v>
      </c>
      <c r="M161" s="18">
        <v>0.5</v>
      </c>
      <c r="N161" s="1">
        <v>464.75</v>
      </c>
      <c r="O161" s="1" t="s">
        <v>274</v>
      </c>
      <c r="P161" s="12">
        <v>36892</v>
      </c>
    </row>
    <row r="162" spans="1:16" x14ac:dyDescent="0.25">
      <c r="A162" s="7" t="str">
        <f>CONCATENATE("RCBARG",TEXT(recebArgamassa[[#This Row],[Ordem]],"00000"))</f>
        <v>RCBARG00166</v>
      </c>
      <c r="B162" s="9">
        <v>166</v>
      </c>
      <c r="C162" s="11">
        <v>44197</v>
      </c>
      <c r="D162" s="1" t="s">
        <v>275</v>
      </c>
      <c r="E162" s="16"/>
      <c r="F162" s="16">
        <v>847376</v>
      </c>
      <c r="G162" s="17"/>
      <c r="H162" s="5"/>
      <c r="I162" s="5"/>
      <c r="K162" s="15">
        <v>2</v>
      </c>
      <c r="L162" s="6">
        <f>SUMIFS(consArgamassa[Consumido (m³)],consArgamassa[RecebID],recebArgamassa[[#This Row],[RecebID]])</f>
        <v>2</v>
      </c>
      <c r="M162" s="18">
        <v>2</v>
      </c>
      <c r="N162" s="1">
        <v>464.75</v>
      </c>
      <c r="O162" s="1" t="s">
        <v>274</v>
      </c>
      <c r="P162" s="12">
        <v>36892</v>
      </c>
    </row>
    <row r="163" spans="1:16" x14ac:dyDescent="0.25">
      <c r="A163" s="7" t="str">
        <f>CONCATENATE("RCBARG",TEXT(recebArgamassa[[#This Row],[Ordem]],"00000"))</f>
        <v>RCBARG00168</v>
      </c>
      <c r="B163" s="9">
        <v>168</v>
      </c>
      <c r="C163" s="11">
        <v>44998.125</v>
      </c>
      <c r="D163" s="1" t="s">
        <v>275</v>
      </c>
      <c r="E163" s="16"/>
      <c r="F163" s="16">
        <v>5484243</v>
      </c>
      <c r="G163" s="17"/>
      <c r="H163" s="5" t="s">
        <v>15</v>
      </c>
      <c r="I163" s="5">
        <v>59683</v>
      </c>
      <c r="K163" s="15">
        <v>6</v>
      </c>
      <c r="L163" s="6">
        <f>SUMIFS(consArgamassa[Consumido (m³)],consArgamassa[RecebID],recebArgamassa[[#This Row],[RecebID]])</f>
        <v>6</v>
      </c>
      <c r="M163" s="18">
        <v>6</v>
      </c>
      <c r="N163" s="1">
        <v>464.75</v>
      </c>
      <c r="O163" s="1" t="s">
        <v>274</v>
      </c>
      <c r="P163" s="12">
        <v>36892</v>
      </c>
    </row>
    <row r="164" spans="1:16" x14ac:dyDescent="0.25">
      <c r="A164" s="7" t="str">
        <f>CONCATENATE("RCBARG",TEXT(recebArgamassa[[#This Row],[Ordem]],"00000"))</f>
        <v>RCBARG00169</v>
      </c>
      <c r="B164" s="9">
        <v>169</v>
      </c>
      <c r="C164" s="11">
        <v>44999.125</v>
      </c>
      <c r="D164" s="1" t="s">
        <v>275</v>
      </c>
      <c r="E164" s="16"/>
      <c r="F164" s="16">
        <v>5484239</v>
      </c>
      <c r="G164" s="17"/>
      <c r="H164" s="5" t="s">
        <v>15</v>
      </c>
      <c r="I164" s="5">
        <v>58683</v>
      </c>
      <c r="K164" s="15">
        <v>7</v>
      </c>
      <c r="L164" s="6">
        <f>SUMIFS(consArgamassa[Consumido (m³)],consArgamassa[RecebID],recebArgamassa[[#This Row],[RecebID]])</f>
        <v>7</v>
      </c>
      <c r="M164" s="18">
        <v>7</v>
      </c>
      <c r="N164" s="1">
        <v>464.75</v>
      </c>
      <c r="O164" s="1" t="s">
        <v>274</v>
      </c>
      <c r="P164" s="12">
        <v>36892</v>
      </c>
    </row>
    <row r="165" spans="1:16" x14ac:dyDescent="0.25">
      <c r="A165" s="7" t="str">
        <f>CONCATENATE("RCBARG",TEXT(recebArgamassa[[#This Row],[Ordem]],"00000"))</f>
        <v>RCBARG00170</v>
      </c>
      <c r="B165" s="9">
        <v>170</v>
      </c>
      <c r="C165" s="11">
        <v>45000.125</v>
      </c>
      <c r="D165" s="1" t="s">
        <v>275</v>
      </c>
      <c r="E165" s="16"/>
      <c r="F165" s="16">
        <v>5484116</v>
      </c>
      <c r="G165" s="17"/>
      <c r="H165" s="5" t="s">
        <v>14</v>
      </c>
      <c r="I165" s="5">
        <v>59683</v>
      </c>
      <c r="K165" s="15">
        <v>6</v>
      </c>
      <c r="L165" s="6">
        <f>SUMIFS(consArgamassa[Consumido (m³)],consArgamassa[RecebID],recebArgamassa[[#This Row],[RecebID]])</f>
        <v>6</v>
      </c>
      <c r="M165" s="18">
        <v>6</v>
      </c>
      <c r="N165" s="1">
        <v>464.75</v>
      </c>
      <c r="O165" s="1" t="s">
        <v>274</v>
      </c>
      <c r="P165" s="12">
        <v>36892</v>
      </c>
    </row>
    <row r="166" spans="1:16" x14ac:dyDescent="0.25">
      <c r="A166" s="7" t="str">
        <f>CONCATENATE("RCBARG",TEXT(recebArgamassa[[#This Row],[Ordem]],"00000"))</f>
        <v>RCBARG00171</v>
      </c>
      <c r="B166" s="9">
        <v>171</v>
      </c>
      <c r="C166" s="11">
        <v>45001.125</v>
      </c>
      <c r="D166" s="1" t="s">
        <v>275</v>
      </c>
      <c r="E166" s="16"/>
      <c r="F166" s="16">
        <v>5484132</v>
      </c>
      <c r="G166" s="17"/>
      <c r="H166" s="5" t="s">
        <v>12</v>
      </c>
      <c r="I166" s="5">
        <v>59683</v>
      </c>
      <c r="K166" s="15">
        <v>5</v>
      </c>
      <c r="L166" s="6">
        <f>SUMIFS(consArgamassa[Consumido (m³)],consArgamassa[RecebID],recebArgamassa[[#This Row],[RecebID]])</f>
        <v>5</v>
      </c>
      <c r="M166" s="18">
        <v>5</v>
      </c>
      <c r="N166" s="1">
        <v>464.75</v>
      </c>
      <c r="O166" s="1" t="s">
        <v>274</v>
      </c>
      <c r="P166" s="12">
        <v>36892</v>
      </c>
    </row>
    <row r="167" spans="1:16" x14ac:dyDescent="0.25">
      <c r="A167" s="7" t="str">
        <f>CONCATENATE("RCBARG",TEXT(recebArgamassa[[#This Row],[Ordem]],"00000"))</f>
        <v>RCBARG00172</v>
      </c>
      <c r="B167" s="9">
        <v>172</v>
      </c>
      <c r="C167" s="11">
        <v>45002.125</v>
      </c>
      <c r="D167" s="1" t="s">
        <v>275</v>
      </c>
      <c r="E167" s="16"/>
      <c r="F167" s="16">
        <v>574551</v>
      </c>
      <c r="G167" s="17"/>
      <c r="H167" s="5" t="s">
        <v>12</v>
      </c>
      <c r="I167" s="5">
        <v>59683</v>
      </c>
      <c r="K167" s="15">
        <v>7</v>
      </c>
      <c r="L167" s="6">
        <f>SUMIFS(consArgamassa[Consumido (m³)],consArgamassa[RecebID],recebArgamassa[[#This Row],[RecebID]])</f>
        <v>7</v>
      </c>
      <c r="M167" s="18">
        <v>7</v>
      </c>
      <c r="N167" s="1">
        <v>464.75</v>
      </c>
      <c r="O167" s="1" t="s">
        <v>274</v>
      </c>
      <c r="P167" s="12">
        <v>36892</v>
      </c>
    </row>
    <row r="168" spans="1:16" x14ac:dyDescent="0.25">
      <c r="A168" s="7" t="str">
        <f>CONCATENATE("RCBARG",TEXT(recebArgamassa[[#This Row],[Ordem]],"00000"))</f>
        <v>RCBARG00173</v>
      </c>
      <c r="B168" s="9">
        <v>173</v>
      </c>
      <c r="C168" s="11">
        <v>45005.125</v>
      </c>
      <c r="D168" s="1" t="s">
        <v>275</v>
      </c>
      <c r="E168" s="16"/>
      <c r="F168" s="16">
        <v>5745728</v>
      </c>
      <c r="G168" s="17"/>
      <c r="H168" s="5" t="s">
        <v>16</v>
      </c>
      <c r="I168" s="5">
        <v>59735</v>
      </c>
      <c r="K168" s="15">
        <v>7</v>
      </c>
      <c r="L168" s="6">
        <f>SUMIFS(consArgamassa[Consumido (m³)],consArgamassa[RecebID],recebArgamassa[[#This Row],[RecebID]])</f>
        <v>7</v>
      </c>
      <c r="M168" s="18">
        <v>7</v>
      </c>
      <c r="N168" s="1">
        <v>464.75</v>
      </c>
      <c r="O168" s="1" t="s">
        <v>274</v>
      </c>
      <c r="P168" s="12">
        <v>36892</v>
      </c>
    </row>
    <row r="169" spans="1:16" x14ac:dyDescent="0.25">
      <c r="A169" s="7" t="str">
        <f>CONCATENATE("RCBARG",TEXT(recebArgamassa[[#This Row],[Ordem]],"00000"))</f>
        <v>RCBARG00174</v>
      </c>
      <c r="B169" s="9">
        <v>174</v>
      </c>
      <c r="C169" s="11">
        <v>45006.125</v>
      </c>
      <c r="D169" s="1" t="s">
        <v>275</v>
      </c>
      <c r="E169" s="16"/>
      <c r="F169" s="16">
        <v>5745703</v>
      </c>
      <c r="G169" s="17"/>
      <c r="H169" s="5" t="s">
        <v>14</v>
      </c>
      <c r="I169" s="5">
        <v>59735</v>
      </c>
      <c r="K169" s="15">
        <v>6</v>
      </c>
      <c r="L169" s="6">
        <f>SUMIFS(consArgamassa[Consumido (m³)],consArgamassa[RecebID],recebArgamassa[[#This Row],[RecebID]])</f>
        <v>6</v>
      </c>
      <c r="M169" s="18">
        <v>6</v>
      </c>
      <c r="N169" s="1">
        <v>464.75</v>
      </c>
      <c r="O169" s="1" t="s">
        <v>274</v>
      </c>
      <c r="P169" s="12">
        <v>36892</v>
      </c>
    </row>
    <row r="170" spans="1:16" x14ac:dyDescent="0.25">
      <c r="A170" s="7" t="str">
        <f>CONCATENATE("RCBARG",TEXT(recebArgamassa[[#This Row],[Ordem]],"00000"))</f>
        <v>RCBARG00175</v>
      </c>
      <c r="B170" s="9">
        <v>175</v>
      </c>
      <c r="C170" s="11">
        <v>45007.125</v>
      </c>
      <c r="D170" s="1" t="s">
        <v>275</v>
      </c>
      <c r="E170" s="16"/>
      <c r="F170" s="16">
        <v>5745796</v>
      </c>
      <c r="G170" s="17"/>
      <c r="H170" s="5" t="s">
        <v>15</v>
      </c>
      <c r="I170" s="5">
        <v>59735</v>
      </c>
      <c r="K170" s="15">
        <v>6</v>
      </c>
      <c r="L170" s="6">
        <f>SUMIFS(consArgamassa[Consumido (m³)],consArgamassa[RecebID],recebArgamassa[[#This Row],[RecebID]])</f>
        <v>6</v>
      </c>
      <c r="M170" s="18">
        <v>6</v>
      </c>
      <c r="N170" s="1">
        <v>464.75</v>
      </c>
      <c r="O170" s="1" t="s">
        <v>274</v>
      </c>
      <c r="P170" s="12">
        <v>36892</v>
      </c>
    </row>
    <row r="171" spans="1:16" x14ac:dyDescent="0.25">
      <c r="A171" s="7" t="str">
        <f>CONCATENATE("RCBARG",TEXT(recebArgamassa[[#This Row],[Ordem]],"00000"))</f>
        <v>RCBARG00176</v>
      </c>
      <c r="B171" s="9">
        <v>176</v>
      </c>
      <c r="C171" s="11">
        <v>45008.125</v>
      </c>
      <c r="D171" s="1" t="s">
        <v>275</v>
      </c>
      <c r="E171" s="16"/>
      <c r="F171" s="16">
        <v>5445969</v>
      </c>
      <c r="G171" s="17"/>
      <c r="H171" s="5" t="s">
        <v>16</v>
      </c>
      <c r="I171" s="5">
        <v>59735</v>
      </c>
      <c r="K171" s="15">
        <v>8</v>
      </c>
      <c r="L171" s="6">
        <f>SUMIFS(consArgamassa[Consumido (m³)],consArgamassa[RecebID],recebArgamassa[[#This Row],[RecebID]])</f>
        <v>8</v>
      </c>
      <c r="M171" s="18">
        <v>8</v>
      </c>
      <c r="N171" s="1">
        <v>464.75</v>
      </c>
      <c r="O171" s="1" t="s">
        <v>274</v>
      </c>
      <c r="P171" s="12">
        <v>36892</v>
      </c>
    </row>
    <row r="172" spans="1:16" x14ac:dyDescent="0.25">
      <c r="A172" s="7" t="str">
        <f>CONCATENATE("RCBARG",TEXT(recebArgamassa[[#This Row],[Ordem]],"00000"))</f>
        <v>RCBARG00177</v>
      </c>
      <c r="B172" s="9">
        <v>177</v>
      </c>
      <c r="C172" s="11">
        <v>45009.125</v>
      </c>
      <c r="D172" s="1" t="s">
        <v>275</v>
      </c>
      <c r="E172" s="16"/>
      <c r="F172" s="16">
        <v>5745989</v>
      </c>
      <c r="G172" s="17"/>
      <c r="H172" s="5" t="s">
        <v>12</v>
      </c>
      <c r="I172" s="5">
        <v>59735</v>
      </c>
      <c r="K172" s="15">
        <v>6</v>
      </c>
      <c r="L172" s="6">
        <f>SUMIFS(consArgamassa[Consumido (m³)],consArgamassa[RecebID],recebArgamassa[[#This Row],[RecebID]])</f>
        <v>6</v>
      </c>
      <c r="M172" s="18">
        <v>6</v>
      </c>
      <c r="N172" s="1">
        <v>464.75</v>
      </c>
      <c r="O172" s="1" t="s">
        <v>274</v>
      </c>
      <c r="P172" s="12">
        <v>36892</v>
      </c>
    </row>
    <row r="173" spans="1:16" x14ac:dyDescent="0.25">
      <c r="A173" s="7" t="str">
        <f>CONCATENATE("RCBARG",TEXT(recebArgamassa[[#This Row],[Ordem]],"00000"))</f>
        <v>RCBARG00178</v>
      </c>
      <c r="B173" s="9">
        <v>178</v>
      </c>
      <c r="C173" s="11">
        <v>45012.125</v>
      </c>
      <c r="D173" s="1" t="s">
        <v>275</v>
      </c>
      <c r="E173" s="16"/>
      <c r="F173" s="16">
        <v>5745958</v>
      </c>
      <c r="G173" s="17"/>
      <c r="H173" s="5" t="s">
        <v>16</v>
      </c>
      <c r="I173" s="5">
        <v>59820</v>
      </c>
      <c r="K173" s="15">
        <v>8</v>
      </c>
      <c r="L173" s="6">
        <f>SUMIFS(consArgamassa[Consumido (m³)],consArgamassa[RecebID],recebArgamassa[[#This Row],[RecebID]])</f>
        <v>8</v>
      </c>
      <c r="M173" s="18">
        <v>8</v>
      </c>
      <c r="N173" s="1">
        <v>464.75</v>
      </c>
      <c r="O173" s="1" t="s">
        <v>274</v>
      </c>
      <c r="P173" s="12">
        <v>36892</v>
      </c>
    </row>
    <row r="174" spans="1:16" x14ac:dyDescent="0.25">
      <c r="A174" s="7" t="str">
        <f>CONCATENATE("RCBARG",TEXT(recebArgamassa[[#This Row],[Ordem]],"00000"))</f>
        <v>RCBARG00179</v>
      </c>
      <c r="B174" s="9">
        <v>179</v>
      </c>
      <c r="C174" s="11">
        <v>44197</v>
      </c>
      <c r="D174" s="1" t="s">
        <v>275</v>
      </c>
      <c r="E174" s="16"/>
      <c r="F174" s="16"/>
      <c r="G174" s="17"/>
      <c r="H174" s="5" t="s">
        <v>22</v>
      </c>
      <c r="I174" s="5">
        <v>59821</v>
      </c>
      <c r="K174" s="15">
        <v>5</v>
      </c>
      <c r="L174" s="6">
        <f>SUMIFS(consArgamassa[Consumido (m³)],consArgamassa[RecebID],recebArgamassa[[#This Row],[RecebID]])</f>
        <v>5</v>
      </c>
      <c r="M174" s="18">
        <v>5</v>
      </c>
      <c r="N174" s="1">
        <v>464.75</v>
      </c>
      <c r="O174" s="1" t="s">
        <v>274</v>
      </c>
      <c r="P174" s="12">
        <v>36892</v>
      </c>
    </row>
    <row r="175" spans="1:16" x14ac:dyDescent="0.25">
      <c r="A175" s="7" t="str">
        <f>CONCATENATE("RCBARG",TEXT(recebArgamassa[[#This Row],[Ordem]],"00000"))</f>
        <v>RCBARG00180</v>
      </c>
      <c r="B175" s="9">
        <v>180</v>
      </c>
      <c r="C175" s="11">
        <v>45013.125</v>
      </c>
      <c r="D175" s="1" t="s">
        <v>275</v>
      </c>
      <c r="E175" s="16"/>
      <c r="F175" s="16">
        <v>5445924</v>
      </c>
      <c r="G175" s="17"/>
      <c r="H175" s="5" t="s">
        <v>11</v>
      </c>
      <c r="I175" s="5">
        <v>59821</v>
      </c>
      <c r="K175" s="15">
        <v>5</v>
      </c>
      <c r="L175" s="6">
        <f>SUMIFS(consArgamassa[Consumido (m³)],consArgamassa[RecebID],recebArgamassa[[#This Row],[RecebID]])</f>
        <v>5</v>
      </c>
      <c r="M175" s="18">
        <v>5</v>
      </c>
      <c r="N175" s="1">
        <v>464.75</v>
      </c>
      <c r="O175" s="1" t="s">
        <v>274</v>
      </c>
      <c r="P175" s="12">
        <v>36892</v>
      </c>
    </row>
    <row r="176" spans="1:16" x14ac:dyDescent="0.25">
      <c r="A176" s="7" t="str">
        <f>CONCATENATE("RCBARG",TEXT(recebArgamassa[[#This Row],[Ordem]],"00000"))</f>
        <v>RCBARG00182</v>
      </c>
      <c r="B176" s="9">
        <v>182</v>
      </c>
      <c r="C176" s="11">
        <v>45014.125</v>
      </c>
      <c r="D176" s="1" t="s">
        <v>275</v>
      </c>
      <c r="E176" s="16"/>
      <c r="F176" s="16">
        <v>5745832</v>
      </c>
      <c r="G176" s="17"/>
      <c r="H176" s="5" t="s">
        <v>12</v>
      </c>
      <c r="I176" s="5">
        <v>59820</v>
      </c>
      <c r="K176" s="15">
        <v>7</v>
      </c>
      <c r="L176" s="6">
        <f>SUMIFS(consArgamassa[Consumido (m³)],consArgamassa[RecebID],recebArgamassa[[#This Row],[RecebID]])</f>
        <v>7</v>
      </c>
      <c r="M176" s="18">
        <v>7</v>
      </c>
      <c r="N176" s="1">
        <v>464.75</v>
      </c>
      <c r="O176" s="1" t="s">
        <v>274</v>
      </c>
      <c r="P176" s="12">
        <v>36892</v>
      </c>
    </row>
    <row r="177" spans="1:16" x14ac:dyDescent="0.25">
      <c r="A177" s="7" t="str">
        <f>CONCATENATE("RCBARG",TEXT(recebArgamassa[[#This Row],[Ordem]],"00000"))</f>
        <v>RCBARG00183</v>
      </c>
      <c r="B177" s="9">
        <v>183</v>
      </c>
      <c r="C177" s="11">
        <v>45015.125</v>
      </c>
      <c r="D177" s="1" t="s">
        <v>275</v>
      </c>
      <c r="E177" s="16"/>
      <c r="F177" s="16">
        <v>5745860</v>
      </c>
      <c r="G177" s="17"/>
      <c r="H177" s="5" t="s">
        <v>12</v>
      </c>
      <c r="I177" s="5">
        <v>59820</v>
      </c>
      <c r="K177" s="15">
        <v>8</v>
      </c>
      <c r="L177" s="6">
        <f>SUMIFS(consArgamassa[Consumido (m³)],consArgamassa[RecebID],recebArgamassa[[#This Row],[RecebID]])</f>
        <v>8</v>
      </c>
      <c r="M177" s="18">
        <v>8</v>
      </c>
      <c r="N177" s="1">
        <v>464.75</v>
      </c>
      <c r="O177" s="1" t="s">
        <v>274</v>
      </c>
      <c r="P177" s="12">
        <v>36892</v>
      </c>
    </row>
    <row r="178" spans="1:16" x14ac:dyDescent="0.25">
      <c r="A178" s="7" t="str">
        <f>CONCATENATE("RCBARG",TEXT(recebArgamassa[[#This Row],[Ordem]],"00000"))</f>
        <v>RCBARG00184</v>
      </c>
      <c r="B178" s="9">
        <v>184</v>
      </c>
      <c r="C178" s="11">
        <v>45016.125</v>
      </c>
      <c r="D178" s="1" t="s">
        <v>275</v>
      </c>
      <c r="E178" s="16"/>
      <c r="F178" s="16">
        <v>5745864</v>
      </c>
      <c r="G178" s="17"/>
      <c r="H178" s="5" t="s">
        <v>11</v>
      </c>
      <c r="I178" s="5">
        <v>59820</v>
      </c>
      <c r="K178" s="15">
        <v>6</v>
      </c>
      <c r="L178" s="6">
        <f>SUMIFS(consArgamassa[Consumido (m³)],consArgamassa[RecebID],recebArgamassa[[#This Row],[RecebID]])</f>
        <v>6</v>
      </c>
      <c r="M178" s="18">
        <v>6</v>
      </c>
      <c r="N178" s="1">
        <v>464.75</v>
      </c>
      <c r="O178" s="1" t="s">
        <v>274</v>
      </c>
      <c r="P178" s="12">
        <v>36892</v>
      </c>
    </row>
    <row r="179" spans="1:16" x14ac:dyDescent="0.25">
      <c r="A179" s="7" t="str">
        <f>CONCATENATE("RCBARG",TEXT(recebArgamassa[[#This Row],[Ordem]],"00000"))</f>
        <v>RCBARG00185</v>
      </c>
      <c r="B179" s="9">
        <v>185</v>
      </c>
      <c r="C179" s="11">
        <v>45019.125</v>
      </c>
      <c r="D179" s="1" t="s">
        <v>275</v>
      </c>
      <c r="E179" s="16"/>
      <c r="F179" s="16">
        <v>5745770</v>
      </c>
      <c r="G179" s="17"/>
      <c r="H179" s="5" t="s">
        <v>14</v>
      </c>
      <c r="I179" s="5">
        <v>59864</v>
      </c>
      <c r="K179" s="15">
        <v>7</v>
      </c>
      <c r="L179" s="6">
        <f>SUMIFS(consArgamassa[Consumido (m³)],consArgamassa[RecebID],recebArgamassa[[#This Row],[RecebID]])</f>
        <v>7</v>
      </c>
      <c r="M179" s="18">
        <v>7</v>
      </c>
      <c r="N179" s="1">
        <v>464.75</v>
      </c>
      <c r="O179" s="1" t="s">
        <v>274</v>
      </c>
      <c r="P179" s="12">
        <v>36892</v>
      </c>
    </row>
    <row r="180" spans="1:16" x14ac:dyDescent="0.25">
      <c r="A180" s="7" t="str">
        <f>CONCATENATE("RCBARG",TEXT(recebArgamassa[[#This Row],[Ordem]],"00000"))</f>
        <v>RCBARG00186</v>
      </c>
      <c r="B180" s="9">
        <v>186</v>
      </c>
      <c r="C180" s="11">
        <v>45020.125</v>
      </c>
      <c r="D180" s="1" t="s">
        <v>275</v>
      </c>
      <c r="E180" s="16"/>
      <c r="F180" s="16">
        <v>5745741</v>
      </c>
      <c r="G180" s="17"/>
      <c r="H180" s="5" t="s">
        <v>12</v>
      </c>
      <c r="I180" s="5">
        <v>59864</v>
      </c>
      <c r="K180" s="15">
        <v>7</v>
      </c>
      <c r="L180" s="6">
        <f>SUMIFS(consArgamassa[Consumido (m³)],consArgamassa[RecebID],recebArgamassa[[#This Row],[RecebID]])</f>
        <v>7</v>
      </c>
      <c r="M180" s="18">
        <v>7</v>
      </c>
      <c r="N180" s="1">
        <v>464.75</v>
      </c>
      <c r="O180" s="1" t="s">
        <v>274</v>
      </c>
      <c r="P180" s="12">
        <v>36892</v>
      </c>
    </row>
    <row r="181" spans="1:16" x14ac:dyDescent="0.25">
      <c r="A181" s="7" t="str">
        <f>CONCATENATE("RCBARG",TEXT(recebArgamassa[[#This Row],[Ordem]],"00000"))</f>
        <v>RCBARG00187</v>
      </c>
      <c r="B181" s="9">
        <v>187</v>
      </c>
      <c r="C181" s="11">
        <v>45021.125</v>
      </c>
      <c r="D181" s="1" t="s">
        <v>275</v>
      </c>
      <c r="E181" s="16"/>
      <c r="F181" s="16">
        <v>5745373</v>
      </c>
      <c r="G181" s="17"/>
      <c r="H181" s="5" t="s">
        <v>17</v>
      </c>
      <c r="I181" s="5">
        <v>59864</v>
      </c>
      <c r="K181" s="15">
        <v>5</v>
      </c>
      <c r="L181" s="6">
        <f>SUMIFS(consArgamassa[Consumido (m³)],consArgamassa[RecebID],recebArgamassa[[#This Row],[RecebID]])</f>
        <v>5</v>
      </c>
      <c r="M181" s="18">
        <v>5</v>
      </c>
      <c r="N181" s="1">
        <v>464.75</v>
      </c>
      <c r="O181" s="1" t="s">
        <v>274</v>
      </c>
      <c r="P181" s="12">
        <v>36892</v>
      </c>
    </row>
    <row r="182" spans="1:16" x14ac:dyDescent="0.25">
      <c r="A182" s="7" t="str">
        <f>CONCATENATE("RCBARG",TEXT(recebArgamassa[[#This Row],[Ordem]],"00000"))</f>
        <v>RCBARG00188</v>
      </c>
      <c r="B182" s="9">
        <v>188</v>
      </c>
      <c r="C182" s="11">
        <v>45026.125</v>
      </c>
      <c r="D182" s="1" t="s">
        <v>275</v>
      </c>
      <c r="E182" s="16"/>
      <c r="F182" s="16">
        <v>5745495</v>
      </c>
      <c r="G182" s="17"/>
      <c r="H182" s="5" t="s">
        <v>16</v>
      </c>
      <c r="I182" s="5">
        <v>59904</v>
      </c>
      <c r="K182" s="15">
        <v>7</v>
      </c>
      <c r="L182" s="6">
        <f>SUMIFS(consArgamassa[Consumido (m³)],consArgamassa[RecebID],recebArgamassa[[#This Row],[RecebID]])</f>
        <v>7</v>
      </c>
      <c r="M182" s="18">
        <v>7</v>
      </c>
      <c r="N182" s="1">
        <v>464.75</v>
      </c>
      <c r="O182" s="1" t="s">
        <v>274</v>
      </c>
      <c r="P182" s="12">
        <v>36892</v>
      </c>
    </row>
    <row r="183" spans="1:16" x14ac:dyDescent="0.25">
      <c r="A183" s="7" t="str">
        <f>CONCATENATE("RCBARG",TEXT(recebArgamassa[[#This Row],[Ordem]],"00000"))</f>
        <v>RCBARG00189</v>
      </c>
      <c r="B183" s="9">
        <v>189</v>
      </c>
      <c r="C183" s="11">
        <v>45027.125</v>
      </c>
      <c r="D183" s="1" t="s">
        <v>275</v>
      </c>
      <c r="E183" s="16"/>
      <c r="F183" s="16">
        <v>5745466</v>
      </c>
      <c r="G183" s="17"/>
      <c r="H183" s="5" t="s">
        <v>16</v>
      </c>
      <c r="I183" s="5">
        <v>59904</v>
      </c>
      <c r="K183" s="15">
        <v>7</v>
      </c>
      <c r="L183" s="6">
        <f>SUMIFS(consArgamassa[Consumido (m³)],consArgamassa[RecebID],recebArgamassa[[#This Row],[RecebID]])</f>
        <v>7</v>
      </c>
      <c r="M183" s="18">
        <v>7</v>
      </c>
      <c r="N183" s="1">
        <v>464.75</v>
      </c>
      <c r="O183" s="1" t="s">
        <v>274</v>
      </c>
      <c r="P183" s="12">
        <v>36892</v>
      </c>
    </row>
    <row r="184" spans="1:16" x14ac:dyDescent="0.25">
      <c r="A184" s="7" t="str">
        <f>CONCATENATE("RCBARG",TEXT(recebArgamassa[[#This Row],[Ordem]],"00000"))</f>
        <v>RCBARG00190</v>
      </c>
      <c r="B184" s="9">
        <v>190</v>
      </c>
      <c r="C184" s="11">
        <v>45028.125</v>
      </c>
      <c r="D184" s="1" t="s">
        <v>275</v>
      </c>
      <c r="E184" s="16"/>
      <c r="F184" s="16">
        <v>5745449</v>
      </c>
      <c r="G184" s="17"/>
      <c r="H184" s="5" t="s">
        <v>14</v>
      </c>
      <c r="I184" s="5">
        <v>59904</v>
      </c>
      <c r="K184" s="15">
        <v>5</v>
      </c>
      <c r="L184" s="6">
        <f>SUMIFS(consArgamassa[Consumido (m³)],consArgamassa[RecebID],recebArgamassa[[#This Row],[RecebID]])</f>
        <v>5</v>
      </c>
      <c r="M184" s="18">
        <v>5</v>
      </c>
      <c r="N184" s="1">
        <v>464.75</v>
      </c>
      <c r="O184" s="1" t="s">
        <v>274</v>
      </c>
      <c r="P184" s="12">
        <v>36892</v>
      </c>
    </row>
    <row r="185" spans="1:16" x14ac:dyDescent="0.25">
      <c r="A185" s="7" t="str">
        <f>CONCATENATE("RCBARG",TEXT(recebArgamassa[[#This Row],[Ordem]],"00000"))</f>
        <v>RCBARG00191</v>
      </c>
      <c r="B185" s="9">
        <v>191</v>
      </c>
      <c r="C185" s="11">
        <v>45029.125</v>
      </c>
      <c r="D185" s="1" t="s">
        <v>275</v>
      </c>
      <c r="E185" s="16"/>
      <c r="F185" s="16">
        <v>5745441</v>
      </c>
      <c r="G185" s="17"/>
      <c r="H185" s="5" t="s">
        <v>14</v>
      </c>
      <c r="I185" s="5">
        <v>59905</v>
      </c>
      <c r="K185" s="15">
        <v>5</v>
      </c>
      <c r="L185" s="6">
        <f>SUMIFS(consArgamassa[Consumido (m³)],consArgamassa[RecebID],recebArgamassa[[#This Row],[RecebID]])</f>
        <v>5</v>
      </c>
      <c r="M185" s="18">
        <v>5</v>
      </c>
      <c r="N185" s="1">
        <v>464.75</v>
      </c>
      <c r="O185" s="1" t="s">
        <v>274</v>
      </c>
      <c r="P185" s="12">
        <v>36892</v>
      </c>
    </row>
    <row r="186" spans="1:16" x14ac:dyDescent="0.25">
      <c r="A186" s="7" t="str">
        <f>CONCATENATE("RCBARG",TEXT(recebArgamassa[[#This Row],[Ordem]],"00000"))</f>
        <v>RCBARG00192</v>
      </c>
      <c r="B186" s="9">
        <v>192</v>
      </c>
      <c r="C186" s="11">
        <v>45030.125</v>
      </c>
      <c r="D186" s="1" t="s">
        <v>275</v>
      </c>
      <c r="E186" s="16"/>
      <c r="F186" s="16">
        <v>5745411</v>
      </c>
      <c r="G186" s="17"/>
      <c r="H186" s="5" t="s">
        <v>17</v>
      </c>
      <c r="I186" s="5">
        <v>59904</v>
      </c>
      <c r="K186" s="15">
        <v>8</v>
      </c>
      <c r="L186" s="6">
        <f>SUMIFS(consArgamassa[Consumido (m³)],consArgamassa[RecebID],recebArgamassa[[#This Row],[RecebID]])</f>
        <v>8</v>
      </c>
      <c r="M186" s="18">
        <v>8</v>
      </c>
      <c r="N186" s="1">
        <v>464.75</v>
      </c>
      <c r="O186" s="1" t="s">
        <v>274</v>
      </c>
      <c r="P186" s="12">
        <v>36892</v>
      </c>
    </row>
    <row r="187" spans="1:16" x14ac:dyDescent="0.25">
      <c r="A187" s="7" t="str">
        <f>CONCATENATE("RCBARG",TEXT(recebArgamassa[[#This Row],[Ordem]],"00000"))</f>
        <v>RCBARG00193</v>
      </c>
      <c r="B187" s="9">
        <v>193</v>
      </c>
      <c r="C187" s="11">
        <v>45033.125</v>
      </c>
      <c r="D187" s="1" t="s">
        <v>275</v>
      </c>
      <c r="E187" s="16"/>
      <c r="F187" s="16">
        <v>574501</v>
      </c>
      <c r="G187" s="17"/>
      <c r="H187" s="5" t="s">
        <v>14</v>
      </c>
      <c r="I187" s="5">
        <v>59904</v>
      </c>
      <c r="K187" s="15">
        <v>8</v>
      </c>
      <c r="L187" s="6">
        <f>SUMIFS(consArgamassa[Consumido (m³)],consArgamassa[RecebID],recebArgamassa[[#This Row],[RecebID]])</f>
        <v>8</v>
      </c>
      <c r="M187" s="18">
        <v>8</v>
      </c>
      <c r="N187" s="1">
        <v>464.75</v>
      </c>
      <c r="O187" s="1" t="s">
        <v>274</v>
      </c>
      <c r="P187" s="12">
        <v>36892</v>
      </c>
    </row>
    <row r="188" spans="1:16" x14ac:dyDescent="0.25">
      <c r="A188" s="7" t="str">
        <f>CONCATENATE("RCBARG",TEXT(recebArgamassa[[#This Row],[Ordem]],"00000"))</f>
        <v>RCBARG00194</v>
      </c>
      <c r="B188" s="9">
        <v>194</v>
      </c>
      <c r="C188" s="11">
        <v>45034.125</v>
      </c>
      <c r="D188" s="1" t="s">
        <v>275</v>
      </c>
      <c r="E188" s="16"/>
      <c r="F188" s="16">
        <v>5745562</v>
      </c>
      <c r="G188" s="17"/>
      <c r="H188" s="5" t="s">
        <v>17</v>
      </c>
      <c r="I188" s="5">
        <v>59904</v>
      </c>
      <c r="K188" s="15">
        <v>8</v>
      </c>
      <c r="L188" s="6">
        <f>SUMIFS(consArgamassa[Consumido (m³)],consArgamassa[RecebID],recebArgamassa[[#This Row],[RecebID]])</f>
        <v>8</v>
      </c>
      <c r="M188" s="18">
        <v>8</v>
      </c>
      <c r="N188" s="1">
        <v>464.75</v>
      </c>
      <c r="O188" s="1" t="s">
        <v>274</v>
      </c>
      <c r="P188" s="12">
        <v>36892</v>
      </c>
    </row>
    <row r="189" spans="1:16" x14ac:dyDescent="0.25">
      <c r="A189" s="7" t="str">
        <f>CONCATENATE("RCBARG",TEXT(recebArgamassa[[#This Row],[Ordem]],"00000"))</f>
        <v>RCBARG00195</v>
      </c>
      <c r="B189" s="9">
        <v>195</v>
      </c>
      <c r="C189" s="11">
        <v>45035.125</v>
      </c>
      <c r="D189" s="1" t="s">
        <v>275</v>
      </c>
      <c r="E189" s="16"/>
      <c r="F189" s="16">
        <v>5745546</v>
      </c>
      <c r="G189" s="17"/>
      <c r="H189" s="5" t="s">
        <v>12</v>
      </c>
      <c r="I189" s="5">
        <v>59904</v>
      </c>
      <c r="K189" s="15">
        <v>8</v>
      </c>
      <c r="L189" s="6">
        <f>SUMIFS(consArgamassa[Consumido (m³)],consArgamassa[RecebID],recebArgamassa[[#This Row],[RecebID]])</f>
        <v>8</v>
      </c>
      <c r="M189" s="18">
        <v>8</v>
      </c>
      <c r="N189" s="1">
        <v>464.75</v>
      </c>
      <c r="O189" s="1" t="s">
        <v>274</v>
      </c>
      <c r="P189" s="12">
        <v>36892</v>
      </c>
    </row>
    <row r="190" spans="1:16" x14ac:dyDescent="0.25">
      <c r="A190" s="7" t="str">
        <f>CONCATENATE("RCBARG",TEXT(recebArgamassa[[#This Row],[Ordem]],"00000"))</f>
        <v>RCBARG00196</v>
      </c>
      <c r="B190" s="9">
        <v>196</v>
      </c>
      <c r="C190" s="11">
        <v>45040.125</v>
      </c>
      <c r="D190" s="1" t="s">
        <v>275</v>
      </c>
      <c r="E190" s="16"/>
      <c r="F190" s="16">
        <v>5745659</v>
      </c>
      <c r="G190" s="17"/>
      <c r="H190" s="5" t="s">
        <v>14</v>
      </c>
      <c r="I190" s="5">
        <v>60073</v>
      </c>
      <c r="K190" s="15">
        <v>8</v>
      </c>
      <c r="L190" s="6">
        <f>SUMIFS(consArgamassa[Consumido (m³)],consArgamassa[RecebID],recebArgamassa[[#This Row],[RecebID]])</f>
        <v>8</v>
      </c>
      <c r="M190" s="18">
        <v>8</v>
      </c>
      <c r="N190" s="1">
        <v>464.75</v>
      </c>
      <c r="O190" s="1" t="s">
        <v>274</v>
      </c>
      <c r="P190" s="12">
        <v>36892</v>
      </c>
    </row>
    <row r="191" spans="1:16" x14ac:dyDescent="0.25">
      <c r="A191" s="7" t="str">
        <f>CONCATENATE("RCBARG",TEXT(recebArgamassa[[#This Row],[Ordem]],"00000"))</f>
        <v>RCBARG00197</v>
      </c>
      <c r="B191" s="9">
        <v>197</v>
      </c>
      <c r="C191" s="11">
        <v>45041.125</v>
      </c>
      <c r="D191" s="1" t="s">
        <v>275</v>
      </c>
      <c r="E191" s="16"/>
      <c r="F191" s="16">
        <v>574580</v>
      </c>
      <c r="G191" s="17"/>
      <c r="H191" s="5" t="s">
        <v>17</v>
      </c>
      <c r="I191" s="5">
        <v>60073</v>
      </c>
      <c r="K191" s="15">
        <v>5</v>
      </c>
      <c r="L191" s="6">
        <f>SUMIFS(consArgamassa[Consumido (m³)],consArgamassa[RecebID],recebArgamassa[[#This Row],[RecebID]])</f>
        <v>5</v>
      </c>
      <c r="M191" s="18">
        <v>5</v>
      </c>
      <c r="N191" s="1">
        <v>464.75</v>
      </c>
      <c r="O191" s="1" t="s">
        <v>274</v>
      </c>
      <c r="P191" s="12">
        <v>36892</v>
      </c>
    </row>
    <row r="192" spans="1:16" x14ac:dyDescent="0.25">
      <c r="A192" s="7" t="str">
        <f>CONCATENATE("RCBARG",TEXT(recebArgamassa[[#This Row],[Ordem]],"00000"))</f>
        <v>RCBARG00198</v>
      </c>
      <c r="B192" s="9">
        <v>198</v>
      </c>
      <c r="C192" s="11">
        <v>44197</v>
      </c>
      <c r="D192" s="1" t="s">
        <v>275</v>
      </c>
      <c r="E192" s="16"/>
      <c r="F192" s="16">
        <v>5745687</v>
      </c>
      <c r="G192" s="17"/>
      <c r="H192" s="5" t="s">
        <v>16</v>
      </c>
      <c r="I192" s="5">
        <v>60072</v>
      </c>
      <c r="K192" s="15">
        <v>6</v>
      </c>
      <c r="L192" s="6">
        <f>SUMIFS(consArgamassa[Consumido (m³)],consArgamassa[RecebID],recebArgamassa[[#This Row],[RecebID]])</f>
        <v>6</v>
      </c>
      <c r="M192" s="18">
        <v>6</v>
      </c>
      <c r="N192" s="1">
        <v>464.75</v>
      </c>
      <c r="O192" s="1" t="s">
        <v>274</v>
      </c>
      <c r="P192" s="12">
        <v>36892</v>
      </c>
    </row>
    <row r="193" spans="1:16" x14ac:dyDescent="0.25">
      <c r="A193" s="7" t="str">
        <f>CONCATENATE("RCBARG",TEXT(recebArgamassa[[#This Row],[Ordem]],"00000"))</f>
        <v>RCBARG00199</v>
      </c>
      <c r="B193" s="9">
        <v>199</v>
      </c>
      <c r="C193" s="11">
        <v>45044.125</v>
      </c>
      <c r="D193" s="1" t="s">
        <v>275</v>
      </c>
      <c r="E193" s="16"/>
      <c r="F193" s="16">
        <v>5745687</v>
      </c>
      <c r="G193" s="17"/>
      <c r="H193" s="5" t="s">
        <v>16</v>
      </c>
      <c r="I193" s="5">
        <v>60073</v>
      </c>
      <c r="K193" s="15">
        <v>6</v>
      </c>
      <c r="L193" s="6">
        <f>SUMIFS(consArgamassa[Consumido (m³)],consArgamassa[RecebID],recebArgamassa[[#This Row],[RecebID]])</f>
        <v>6</v>
      </c>
      <c r="M193" s="18">
        <v>6</v>
      </c>
      <c r="N193" s="1">
        <v>464.75</v>
      </c>
      <c r="O193" s="1" t="s">
        <v>274</v>
      </c>
      <c r="P193" s="12">
        <v>36892</v>
      </c>
    </row>
    <row r="194" spans="1:16" x14ac:dyDescent="0.25">
      <c r="A194" s="7" t="str">
        <f>CONCATENATE("RCBARG",TEXT(recebArgamassa[[#This Row],[Ordem]],"00000"))</f>
        <v>RCBARG00200</v>
      </c>
      <c r="B194" s="9">
        <v>200</v>
      </c>
      <c r="C194" s="11">
        <v>45048.125</v>
      </c>
      <c r="D194" s="1" t="s">
        <v>275</v>
      </c>
      <c r="E194" s="16"/>
      <c r="F194" s="16">
        <v>574575</v>
      </c>
      <c r="G194" s="17"/>
      <c r="H194" s="5" t="s">
        <v>14</v>
      </c>
      <c r="I194" s="5">
        <v>60130</v>
      </c>
      <c r="K194" s="15">
        <v>8</v>
      </c>
      <c r="L194" s="6">
        <f>SUMIFS(consArgamassa[Consumido (m³)],consArgamassa[RecebID],recebArgamassa[[#This Row],[RecebID]])</f>
        <v>8</v>
      </c>
      <c r="M194" s="18">
        <v>8</v>
      </c>
      <c r="N194" s="1">
        <v>464.75</v>
      </c>
      <c r="O194" s="1" t="s">
        <v>274</v>
      </c>
      <c r="P194" s="12">
        <v>36892</v>
      </c>
    </row>
    <row r="195" spans="1:16" x14ac:dyDescent="0.25">
      <c r="A195" s="7" t="str">
        <f>CONCATENATE("RCBARG",TEXT(recebArgamassa[[#This Row],[Ordem]],"00000"))</f>
        <v>RCBARG00201</v>
      </c>
      <c r="B195" s="9">
        <v>201</v>
      </c>
      <c r="C195" s="11">
        <v>45050.125</v>
      </c>
      <c r="D195" s="1" t="s">
        <v>275</v>
      </c>
      <c r="E195" s="16"/>
      <c r="F195" s="16">
        <v>5745344</v>
      </c>
      <c r="G195" s="17"/>
      <c r="H195" s="5" t="s">
        <v>17</v>
      </c>
      <c r="I195" s="5">
        <v>60130</v>
      </c>
      <c r="K195" s="15">
        <v>5</v>
      </c>
      <c r="L195" s="6">
        <f>SUMIFS(consArgamassa[Consumido (m³)],consArgamassa[RecebID],recebArgamassa[[#This Row],[RecebID]])</f>
        <v>5</v>
      </c>
      <c r="M195" s="18">
        <v>5</v>
      </c>
      <c r="N195" s="1">
        <v>464.75</v>
      </c>
      <c r="O195" s="1" t="s">
        <v>274</v>
      </c>
      <c r="P195" s="12">
        <v>36892</v>
      </c>
    </row>
    <row r="196" spans="1:16" x14ac:dyDescent="0.25">
      <c r="A196" s="7" t="str">
        <f>CONCATENATE("RCBARG",TEXT(recebArgamassa[[#This Row],[Ordem]],"00000"))</f>
        <v>RCBARG00202</v>
      </c>
      <c r="B196" s="9">
        <v>202</v>
      </c>
      <c r="C196" s="11">
        <v>45051.125</v>
      </c>
      <c r="D196" s="1" t="s">
        <v>275</v>
      </c>
      <c r="E196" s="16"/>
      <c r="F196" s="16">
        <v>5745324</v>
      </c>
      <c r="G196" s="17"/>
      <c r="H196" s="5" t="s">
        <v>14</v>
      </c>
      <c r="I196" s="5">
        <v>60130</v>
      </c>
      <c r="K196" s="15">
        <v>6</v>
      </c>
      <c r="L196" s="6">
        <f>SUMIFS(consArgamassa[Consumido (m³)],consArgamassa[RecebID],recebArgamassa[[#This Row],[RecebID]])</f>
        <v>6</v>
      </c>
      <c r="M196" s="18">
        <v>6</v>
      </c>
      <c r="N196" s="1">
        <v>464.75</v>
      </c>
      <c r="O196" s="1" t="s">
        <v>274</v>
      </c>
      <c r="P196" s="12">
        <v>36892</v>
      </c>
    </row>
    <row r="197" spans="1:16" x14ac:dyDescent="0.25">
      <c r="A197" s="7" t="str">
        <f>CONCATENATE("RCBARG",TEXT(recebArgamassa[[#This Row],[Ordem]],"00000"))</f>
        <v>RCBARG00203</v>
      </c>
      <c r="B197" s="9">
        <v>203</v>
      </c>
      <c r="C197" s="11">
        <v>45054.125</v>
      </c>
      <c r="D197" s="1" t="s">
        <v>275</v>
      </c>
      <c r="E197" s="16"/>
      <c r="F197" s="16">
        <v>5745007</v>
      </c>
      <c r="G197" s="17"/>
      <c r="H197" s="5" t="s">
        <v>14</v>
      </c>
      <c r="I197" s="5">
        <v>60173</v>
      </c>
      <c r="K197" s="15">
        <v>8</v>
      </c>
      <c r="L197" s="6">
        <f>SUMIFS(consArgamassa[Consumido (m³)],consArgamassa[RecebID],recebArgamassa[[#This Row],[RecebID]])</f>
        <v>8</v>
      </c>
      <c r="M197" s="18">
        <v>8</v>
      </c>
      <c r="N197" s="1">
        <v>464.75</v>
      </c>
      <c r="O197" s="1" t="s">
        <v>274</v>
      </c>
      <c r="P197" s="12">
        <v>36892</v>
      </c>
    </row>
    <row r="198" spans="1:16" x14ac:dyDescent="0.25">
      <c r="A198" s="7" t="str">
        <f>CONCATENATE("RCBARG",TEXT(recebArgamassa[[#This Row],[Ordem]],"00000"))</f>
        <v>RCBARG00204</v>
      </c>
      <c r="B198" s="9">
        <v>204</v>
      </c>
      <c r="C198" s="11">
        <v>45055.125</v>
      </c>
      <c r="D198" s="1" t="s">
        <v>275</v>
      </c>
      <c r="E198" s="16"/>
      <c r="F198" s="16">
        <v>5745038</v>
      </c>
      <c r="G198" s="17"/>
      <c r="H198" s="5" t="s">
        <v>15</v>
      </c>
      <c r="I198" s="5">
        <v>60173</v>
      </c>
      <c r="K198" s="15">
        <v>5</v>
      </c>
      <c r="L198" s="6">
        <f>SUMIFS(consArgamassa[Consumido (m³)],consArgamassa[RecebID],recebArgamassa[[#This Row],[RecebID]])</f>
        <v>5</v>
      </c>
      <c r="M198" s="18">
        <v>5</v>
      </c>
      <c r="N198" s="1">
        <v>464.75</v>
      </c>
      <c r="O198" s="1" t="s">
        <v>274</v>
      </c>
      <c r="P198" s="12">
        <v>36892</v>
      </c>
    </row>
    <row r="199" spans="1:16" x14ac:dyDescent="0.25">
      <c r="A199" s="7" t="str">
        <f>CONCATENATE("RCBARG",TEXT(recebArgamassa[[#This Row],[Ordem]],"00000"))</f>
        <v>RCBARG00205</v>
      </c>
      <c r="B199" s="9">
        <v>205</v>
      </c>
      <c r="C199" s="11">
        <v>45056.125</v>
      </c>
      <c r="D199" s="1" t="s">
        <v>275</v>
      </c>
      <c r="E199" s="16"/>
      <c r="F199" s="16">
        <v>5745284</v>
      </c>
      <c r="G199" s="17"/>
      <c r="H199" s="5" t="s">
        <v>15</v>
      </c>
      <c r="I199" s="5">
        <v>60173</v>
      </c>
      <c r="K199" s="15">
        <v>7</v>
      </c>
      <c r="L199" s="6">
        <f>SUMIFS(consArgamassa[Consumido (m³)],consArgamassa[RecebID],recebArgamassa[[#This Row],[RecebID]])</f>
        <v>7</v>
      </c>
      <c r="M199" s="18">
        <v>7</v>
      </c>
      <c r="N199" s="1">
        <v>464.75</v>
      </c>
      <c r="O199" s="1" t="s">
        <v>274</v>
      </c>
      <c r="P199" s="12">
        <v>36892</v>
      </c>
    </row>
    <row r="200" spans="1:16" x14ac:dyDescent="0.25">
      <c r="A200" s="7" t="str">
        <f>CONCATENATE("RCBARG",TEXT(recebArgamassa[[#This Row],[Ordem]],"00000"))</f>
        <v>RCBARG00206</v>
      </c>
      <c r="B200" s="9">
        <v>206</v>
      </c>
      <c r="C200" s="11">
        <v>45057.125</v>
      </c>
      <c r="D200" s="1" t="s">
        <v>275</v>
      </c>
      <c r="E200" s="16"/>
      <c r="F200" s="16">
        <v>5745077</v>
      </c>
      <c r="G200" s="17"/>
      <c r="H200" s="5" t="s">
        <v>13</v>
      </c>
      <c r="I200" s="5">
        <v>60173</v>
      </c>
      <c r="K200" s="15">
        <v>8</v>
      </c>
      <c r="L200" s="6">
        <f>SUMIFS(consArgamassa[Consumido (m³)],consArgamassa[RecebID],recebArgamassa[[#This Row],[RecebID]])</f>
        <v>8</v>
      </c>
      <c r="M200" s="18">
        <v>8</v>
      </c>
      <c r="N200" s="1">
        <v>464.75</v>
      </c>
      <c r="O200" s="1" t="s">
        <v>274</v>
      </c>
      <c r="P200" s="12">
        <v>36892</v>
      </c>
    </row>
    <row r="201" spans="1:16" x14ac:dyDescent="0.25">
      <c r="A201" s="7" t="str">
        <f>CONCATENATE("RCBARG",TEXT(recebArgamassa[[#This Row],[Ordem]],"00000"))</f>
        <v>RCBARG00207</v>
      </c>
      <c r="B201" s="9">
        <v>207</v>
      </c>
      <c r="C201" s="11">
        <v>45061.125</v>
      </c>
      <c r="D201" s="1" t="s">
        <v>275</v>
      </c>
      <c r="E201" s="16"/>
      <c r="F201" s="16">
        <v>5745133</v>
      </c>
      <c r="G201" s="17"/>
      <c r="H201" s="5" t="s">
        <v>15</v>
      </c>
      <c r="I201" s="5">
        <v>60269</v>
      </c>
      <c r="K201" s="15">
        <v>8</v>
      </c>
      <c r="L201" s="6">
        <f>SUMIFS(consArgamassa[Consumido (m³)],consArgamassa[RecebID],recebArgamassa[[#This Row],[RecebID]])</f>
        <v>8</v>
      </c>
      <c r="M201" s="18">
        <v>8</v>
      </c>
      <c r="N201" s="1">
        <v>464.75</v>
      </c>
      <c r="O201" s="1" t="s">
        <v>274</v>
      </c>
      <c r="P201" s="12">
        <v>36892</v>
      </c>
    </row>
    <row r="202" spans="1:16" x14ac:dyDescent="0.25">
      <c r="A202" s="7" t="str">
        <f>CONCATENATE("RCBARG",TEXT(recebArgamassa[[#This Row],[Ordem]],"00000"))</f>
        <v>RCBARG00208</v>
      </c>
      <c r="B202" s="9">
        <v>208</v>
      </c>
      <c r="C202" s="11">
        <v>45062.125</v>
      </c>
      <c r="D202" s="1" t="s">
        <v>275</v>
      </c>
      <c r="E202" s="16"/>
      <c r="F202" s="16">
        <v>57455609</v>
      </c>
      <c r="G202" s="17"/>
      <c r="H202" s="5" t="s">
        <v>17</v>
      </c>
      <c r="I202" s="5">
        <v>60269</v>
      </c>
      <c r="K202" s="15">
        <v>6</v>
      </c>
      <c r="L202" s="6">
        <f>SUMIFS(consArgamassa[Consumido (m³)],consArgamassa[RecebID],recebArgamassa[[#This Row],[RecebID]])</f>
        <v>6</v>
      </c>
      <c r="M202" s="18">
        <v>6</v>
      </c>
      <c r="N202" s="1">
        <v>464.75</v>
      </c>
      <c r="O202" s="1" t="s">
        <v>274</v>
      </c>
      <c r="P202" s="12">
        <v>36892</v>
      </c>
    </row>
    <row r="203" spans="1:16" x14ac:dyDescent="0.25">
      <c r="A203" s="7" t="str">
        <f>CONCATENATE("RCBARG",TEXT(recebArgamassa[[#This Row],[Ordem]],"00000"))</f>
        <v>RCBARG00209</v>
      </c>
      <c r="B203" s="9">
        <v>209</v>
      </c>
      <c r="C203" s="11">
        <v>45063.125</v>
      </c>
      <c r="D203" s="1" t="s">
        <v>275</v>
      </c>
      <c r="E203" s="16"/>
      <c r="F203" s="16">
        <v>5745181</v>
      </c>
      <c r="G203" s="17"/>
      <c r="H203" s="5" t="s">
        <v>12</v>
      </c>
      <c r="I203" s="5">
        <v>60269</v>
      </c>
      <c r="K203" s="15">
        <v>8</v>
      </c>
      <c r="L203" s="6">
        <f>SUMIFS(consArgamassa[Consumido (m³)],consArgamassa[RecebID],recebArgamassa[[#This Row],[RecebID]])</f>
        <v>8</v>
      </c>
      <c r="M203" s="18">
        <v>8</v>
      </c>
      <c r="N203" s="1">
        <v>464.75</v>
      </c>
      <c r="O203" s="1" t="s">
        <v>274</v>
      </c>
      <c r="P203" s="12">
        <v>36892</v>
      </c>
    </row>
    <row r="204" spans="1:16" x14ac:dyDescent="0.25">
      <c r="A204" s="7" t="str">
        <f>CONCATENATE("RCBARG",TEXT(recebArgamassa[[#This Row],[Ordem]],"00000"))</f>
        <v>RCBARG00210</v>
      </c>
      <c r="B204" s="9">
        <v>210</v>
      </c>
      <c r="C204" s="11">
        <v>45063.125</v>
      </c>
      <c r="D204" s="1" t="s">
        <v>275</v>
      </c>
      <c r="E204" s="16"/>
      <c r="F204" s="16">
        <v>5745181</v>
      </c>
      <c r="G204" s="17"/>
      <c r="H204" s="5" t="s">
        <v>12</v>
      </c>
      <c r="I204" s="5">
        <v>60269</v>
      </c>
      <c r="K204" s="15">
        <v>8</v>
      </c>
      <c r="L204" s="6">
        <f>SUMIFS(consArgamassa[Consumido (m³)],consArgamassa[RecebID],recebArgamassa[[#This Row],[RecebID]])</f>
        <v>8</v>
      </c>
      <c r="M204" s="18">
        <v>8</v>
      </c>
      <c r="N204" s="1">
        <v>464.75</v>
      </c>
      <c r="O204" s="1" t="s">
        <v>274</v>
      </c>
      <c r="P204" s="12">
        <v>36892</v>
      </c>
    </row>
    <row r="205" spans="1:16" x14ac:dyDescent="0.25">
      <c r="A205" s="7" t="str">
        <f>CONCATENATE("RCBARG",TEXT(recebArgamassa[[#This Row],[Ordem]],"00000"))</f>
        <v>RCBARG00211</v>
      </c>
      <c r="B205" s="9">
        <v>211</v>
      </c>
      <c r="C205" s="11">
        <v>45068.125</v>
      </c>
      <c r="D205" s="1" t="s">
        <v>275</v>
      </c>
      <c r="E205" s="16"/>
      <c r="F205" s="16">
        <v>5745197</v>
      </c>
      <c r="G205" s="17"/>
      <c r="H205" s="5" t="s">
        <v>16</v>
      </c>
      <c r="I205" s="5">
        <v>60326</v>
      </c>
      <c r="K205" s="15">
        <v>8</v>
      </c>
      <c r="L205" s="6">
        <f>SUMIFS(consArgamassa[Consumido (m³)],consArgamassa[RecebID],recebArgamassa[[#This Row],[RecebID]])</f>
        <v>8</v>
      </c>
      <c r="M205" s="18">
        <v>8</v>
      </c>
      <c r="N205" s="1">
        <v>464.75</v>
      </c>
      <c r="O205" s="1" t="s">
        <v>274</v>
      </c>
      <c r="P205" s="12">
        <v>36892</v>
      </c>
    </row>
    <row r="206" spans="1:16" x14ac:dyDescent="0.25">
      <c r="A206" s="7" t="str">
        <f>CONCATENATE("RCBARG",TEXT(recebArgamassa[[#This Row],[Ordem]],"00000"))</f>
        <v>RCBARG00212</v>
      </c>
      <c r="B206" s="9">
        <v>212</v>
      </c>
      <c r="C206" s="11">
        <v>45069.125</v>
      </c>
      <c r="D206" s="1" t="s">
        <v>275</v>
      </c>
      <c r="E206" s="16"/>
      <c r="F206" s="16">
        <v>5745113</v>
      </c>
      <c r="G206" s="17"/>
      <c r="H206" s="5" t="s">
        <v>15</v>
      </c>
      <c r="I206" s="5">
        <v>60326</v>
      </c>
      <c r="K206" s="15">
        <v>7</v>
      </c>
      <c r="L206" s="6">
        <f>SUMIFS(consArgamassa[Consumido (m³)],consArgamassa[RecebID],recebArgamassa[[#This Row],[RecebID]])</f>
        <v>7</v>
      </c>
      <c r="M206" s="18">
        <v>7</v>
      </c>
      <c r="N206" s="1">
        <v>464.75</v>
      </c>
      <c r="O206" s="1" t="s">
        <v>274</v>
      </c>
      <c r="P206" s="12">
        <v>36892</v>
      </c>
    </row>
    <row r="207" spans="1:16" x14ac:dyDescent="0.25">
      <c r="A207" s="7" t="str">
        <f>CONCATENATE("RCBARG",TEXT(recebArgamassa[[#This Row],[Ordem]],"00000"))</f>
        <v>RCBARG00213</v>
      </c>
      <c r="B207" s="9">
        <v>213</v>
      </c>
      <c r="C207" s="11">
        <v>45070.125</v>
      </c>
      <c r="D207" s="1" t="s">
        <v>275</v>
      </c>
      <c r="E207" s="16"/>
      <c r="F207" s="16">
        <v>5745154</v>
      </c>
      <c r="G207" s="17"/>
      <c r="H207" s="5" t="s">
        <v>15</v>
      </c>
      <c r="I207" s="5">
        <v>60326</v>
      </c>
      <c r="K207" s="15">
        <v>7</v>
      </c>
      <c r="L207" s="6">
        <f>SUMIFS(consArgamassa[Consumido (m³)],consArgamassa[RecebID],recebArgamassa[[#This Row],[RecebID]])</f>
        <v>7</v>
      </c>
      <c r="M207" s="18">
        <v>7</v>
      </c>
      <c r="N207" s="1">
        <v>464.75</v>
      </c>
      <c r="O207" s="1" t="s">
        <v>274</v>
      </c>
      <c r="P207" s="12">
        <v>36892</v>
      </c>
    </row>
    <row r="208" spans="1:16" x14ac:dyDescent="0.25">
      <c r="A208" s="7" t="str">
        <f>CONCATENATE("RCBARG",TEXT(recebArgamassa[[#This Row],[Ordem]],"00000"))</f>
        <v>RCBARG00214</v>
      </c>
      <c r="B208" s="9">
        <v>214</v>
      </c>
      <c r="C208" s="11">
        <v>45075.125</v>
      </c>
      <c r="D208" s="1" t="s">
        <v>275</v>
      </c>
      <c r="E208" s="16"/>
      <c r="F208" s="16">
        <v>5484182</v>
      </c>
      <c r="G208" s="17"/>
      <c r="H208" s="5" t="s">
        <v>17</v>
      </c>
      <c r="I208" s="5">
        <v>60378</v>
      </c>
      <c r="K208" s="15">
        <v>8</v>
      </c>
      <c r="L208" s="6">
        <f>SUMIFS(consArgamassa[Consumido (m³)],consArgamassa[RecebID],recebArgamassa[[#This Row],[RecebID]])</f>
        <v>8</v>
      </c>
      <c r="M208" s="18">
        <v>8</v>
      </c>
      <c r="N208" s="1">
        <v>464.75</v>
      </c>
      <c r="O208" s="1" t="s">
        <v>274</v>
      </c>
      <c r="P208" s="12">
        <v>36892</v>
      </c>
    </row>
    <row r="209" spans="1:16" x14ac:dyDescent="0.25">
      <c r="A209" s="7" t="str">
        <f>CONCATENATE("RCBARG",TEXT(recebArgamassa[[#This Row],[Ordem]],"00000"))</f>
        <v>RCBARG00215</v>
      </c>
      <c r="B209" s="9">
        <v>215</v>
      </c>
      <c r="C209" s="11">
        <v>44197</v>
      </c>
      <c r="D209" s="1" t="s">
        <v>275</v>
      </c>
      <c r="E209" s="16"/>
      <c r="F209" s="16">
        <v>5749923</v>
      </c>
      <c r="G209" s="17"/>
      <c r="H209" s="5" t="s">
        <v>20</v>
      </c>
      <c r="I209" s="5">
        <v>60378</v>
      </c>
      <c r="K209" s="15">
        <v>5</v>
      </c>
      <c r="L209" s="6">
        <f>SUMIFS(consArgamassa[Consumido (m³)],consArgamassa[RecebID],recebArgamassa[[#This Row],[RecebID]])</f>
        <v>5</v>
      </c>
      <c r="M209" s="18">
        <v>5</v>
      </c>
      <c r="N209" s="1">
        <v>464.75</v>
      </c>
      <c r="O209" s="1" t="s">
        <v>274</v>
      </c>
      <c r="P209" s="12">
        <v>36892</v>
      </c>
    </row>
    <row r="210" spans="1:16" x14ac:dyDescent="0.25">
      <c r="A210" s="7" t="str">
        <f>CONCATENATE("RCBARG",TEXT(recebArgamassa[[#This Row],[Ordem]],"00000"))</f>
        <v>RCBARG00216</v>
      </c>
      <c r="B210" s="9">
        <v>216</v>
      </c>
      <c r="C210" s="11">
        <v>45076.125</v>
      </c>
      <c r="D210" s="1" t="s">
        <v>275</v>
      </c>
      <c r="E210" s="16"/>
      <c r="F210" s="16">
        <v>5749923</v>
      </c>
      <c r="G210" s="17"/>
      <c r="H210" s="5" t="s">
        <v>15</v>
      </c>
      <c r="I210" s="5">
        <v>60378</v>
      </c>
      <c r="K210" s="15">
        <v>5</v>
      </c>
      <c r="L210" s="6">
        <f>SUMIFS(consArgamassa[Consumido (m³)],consArgamassa[RecebID],recebArgamassa[[#This Row],[RecebID]])</f>
        <v>5</v>
      </c>
      <c r="M210" s="18">
        <v>5</v>
      </c>
      <c r="N210" s="1">
        <v>464.75</v>
      </c>
      <c r="O210" s="1" t="s">
        <v>274</v>
      </c>
      <c r="P210" s="12">
        <v>36892</v>
      </c>
    </row>
    <row r="211" spans="1:16" x14ac:dyDescent="0.25">
      <c r="A211" s="7" t="str">
        <f>CONCATENATE("RCBARG",TEXT(recebArgamassa[[#This Row],[Ordem]],"00000"))</f>
        <v>RCBARG00217</v>
      </c>
      <c r="B211" s="9">
        <v>217</v>
      </c>
      <c r="C211" s="11">
        <v>44197</v>
      </c>
      <c r="D211" s="1" t="s">
        <v>275</v>
      </c>
      <c r="E211" s="16"/>
      <c r="F211" s="16">
        <v>5749945</v>
      </c>
      <c r="G211" s="17"/>
      <c r="H211" s="5" t="s">
        <v>12</v>
      </c>
      <c r="I211" s="5">
        <v>60378</v>
      </c>
      <c r="K211" s="15">
        <v>5</v>
      </c>
      <c r="L211" s="6">
        <f>SUMIFS(consArgamassa[Consumido (m³)],consArgamassa[RecebID],recebArgamassa[[#This Row],[RecebID]])</f>
        <v>5</v>
      </c>
      <c r="M211" s="18">
        <v>5</v>
      </c>
      <c r="N211" s="1">
        <v>464.75</v>
      </c>
      <c r="O211" s="1" t="s">
        <v>274</v>
      </c>
      <c r="P211" s="12">
        <v>36892</v>
      </c>
    </row>
    <row r="212" spans="1:16" x14ac:dyDescent="0.25">
      <c r="A212" s="7" t="str">
        <f>CONCATENATE("RCBARG",TEXT(recebArgamassa[[#This Row],[Ordem]],"00000"))</f>
        <v>RCBARG00218</v>
      </c>
      <c r="B212" s="9">
        <v>218</v>
      </c>
      <c r="C212" s="11">
        <v>45077.125</v>
      </c>
      <c r="D212" s="1" t="s">
        <v>275</v>
      </c>
      <c r="E212" s="16"/>
      <c r="F212" s="16">
        <v>5749945</v>
      </c>
      <c r="G212" s="17"/>
      <c r="H212" s="5" t="s">
        <v>12</v>
      </c>
      <c r="I212" s="5">
        <v>60378</v>
      </c>
      <c r="K212" s="15">
        <v>5</v>
      </c>
      <c r="L212" s="6">
        <f>SUMIFS(consArgamassa[Consumido (m³)],consArgamassa[RecebID],recebArgamassa[[#This Row],[RecebID]])</f>
        <v>5</v>
      </c>
      <c r="M212" s="18">
        <v>5</v>
      </c>
      <c r="N212" s="1">
        <v>464.75</v>
      </c>
      <c r="O212" s="1" t="s">
        <v>274</v>
      </c>
      <c r="P212" s="12">
        <v>36892</v>
      </c>
    </row>
    <row r="213" spans="1:16" x14ac:dyDescent="0.25">
      <c r="A213" s="7" t="str">
        <f>CONCATENATE("RCBARG",TEXT(recebArgamassa[[#This Row],[Ordem]],"00000"))</f>
        <v>RCBARG00219</v>
      </c>
      <c r="B213" s="9">
        <v>219</v>
      </c>
      <c r="C213" s="11">
        <v>45082.125</v>
      </c>
      <c r="D213" s="1" t="s">
        <v>275</v>
      </c>
      <c r="E213" s="16"/>
      <c r="F213" s="16">
        <v>5749744</v>
      </c>
      <c r="G213" s="17"/>
      <c r="H213" s="5" t="s">
        <v>17</v>
      </c>
      <c r="I213" s="5">
        <v>60378</v>
      </c>
      <c r="K213" s="15">
        <v>5</v>
      </c>
      <c r="L213" s="6">
        <f>SUMIFS(consArgamassa[Consumido (m³)],consArgamassa[RecebID],recebArgamassa[[#This Row],[RecebID]])</f>
        <v>5</v>
      </c>
      <c r="M213" s="18">
        <v>5</v>
      </c>
      <c r="N213" s="1">
        <v>464.75</v>
      </c>
      <c r="O213" s="1" t="s">
        <v>274</v>
      </c>
      <c r="P213" s="12">
        <v>36892</v>
      </c>
    </row>
    <row r="214" spans="1:16" x14ac:dyDescent="0.25">
      <c r="A214" s="7" t="str">
        <f>CONCATENATE("RCBARG",TEXT(recebArgamassa[[#This Row],[Ordem]],"00000"))</f>
        <v>RCBARG00220</v>
      </c>
      <c r="B214" s="9">
        <v>220</v>
      </c>
      <c r="C214" s="11">
        <v>45082.125</v>
      </c>
      <c r="D214" s="1" t="s">
        <v>275</v>
      </c>
      <c r="E214" s="16"/>
      <c r="F214" s="16">
        <v>5749744</v>
      </c>
      <c r="G214" s="17"/>
      <c r="H214" s="5" t="s">
        <v>17</v>
      </c>
      <c r="I214" s="5">
        <v>60378</v>
      </c>
      <c r="K214" s="15">
        <v>8</v>
      </c>
      <c r="L214" s="6">
        <f>SUMIFS(consArgamassa[Consumido (m³)],consArgamassa[RecebID],recebArgamassa[[#This Row],[RecebID]])</f>
        <v>8</v>
      </c>
      <c r="M214" s="18">
        <v>8</v>
      </c>
      <c r="N214" s="1">
        <v>464.75</v>
      </c>
      <c r="O214" s="1" t="s">
        <v>274</v>
      </c>
      <c r="P214" s="12">
        <v>36892</v>
      </c>
    </row>
    <row r="215" spans="1:16" x14ac:dyDescent="0.25">
      <c r="A215" s="24" t="str">
        <f>CONCATENATE("RCBARG",TEXT(recebArgamassa[[#This Row],[Ordem]],"00000"))</f>
        <v>RCBARG00221</v>
      </c>
      <c r="B215" s="9">
        <v>221</v>
      </c>
      <c r="C215" s="25">
        <v>44992</v>
      </c>
      <c r="D215" s="16" t="s">
        <v>275</v>
      </c>
      <c r="E215" s="16" t="s">
        <v>293</v>
      </c>
      <c r="F215" s="16" t="s">
        <v>293</v>
      </c>
      <c r="G215" s="26">
        <v>0.5180555555555556</v>
      </c>
      <c r="H215" s="27" t="s">
        <v>294</v>
      </c>
      <c r="I215" s="27" t="s">
        <v>293</v>
      </c>
      <c r="J215" s="27" t="s">
        <v>295</v>
      </c>
      <c r="K215" s="15">
        <v>20</v>
      </c>
      <c r="L215" s="6">
        <f>SUMIFS(consArgamassa[Consumido (m³)],consArgamassa[RecebID],recebArgamassa[[#This Row],[RecebID]])</f>
        <v>0</v>
      </c>
      <c r="M215" s="15">
        <v>20</v>
      </c>
      <c r="N215" s="28">
        <v>468</v>
      </c>
      <c r="O215" s="28" t="s">
        <v>274</v>
      </c>
      <c r="P215" s="29">
        <v>45110.494733796295</v>
      </c>
    </row>
  </sheetData>
  <sheetProtection selectLockedCells="1" sort="0" autoFilter="0" pivotTables="0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ABF1E-5504-4907-A9BE-01EE43788D27}">
  <sheetPr codeName="Planilha3"/>
  <dimension ref="A1:P392"/>
  <sheetViews>
    <sheetView tabSelected="1" topLeftCell="A144" zoomScaleNormal="100" workbookViewId="0">
      <selection activeCell="D149" sqref="D149"/>
    </sheetView>
  </sheetViews>
  <sheetFormatPr defaultRowHeight="12.75" x14ac:dyDescent="0.25"/>
  <cols>
    <col min="1" max="2" width="14" style="1" bestFit="1" customWidth="1"/>
    <col min="3" max="3" width="11.7109375" style="1" bestFit="1" customWidth="1"/>
    <col min="4" max="4" width="10.140625" style="11" bestFit="1" customWidth="1"/>
    <col min="5" max="5" width="21.5703125" style="1" bestFit="1" customWidth="1"/>
    <col min="6" max="6" width="24.42578125" style="1" bestFit="1" customWidth="1"/>
    <col min="7" max="7" width="12" style="1" bestFit="1" customWidth="1"/>
    <col min="8" max="8" width="10.7109375" style="1" bestFit="1" customWidth="1"/>
    <col min="9" max="9" width="15.28515625" style="1" bestFit="1" customWidth="1"/>
    <col min="10" max="10" width="16.5703125" style="1" bestFit="1" customWidth="1"/>
    <col min="11" max="11" width="19.85546875" style="1" bestFit="1" customWidth="1"/>
    <col min="12" max="12" width="19.85546875" style="1" customWidth="1"/>
    <col min="13" max="13" width="23.28515625" style="1" bestFit="1" customWidth="1"/>
    <col min="14" max="14" width="23.28515625" style="1" customWidth="1"/>
    <col min="15" max="15" width="12.5703125" style="1" bestFit="1" customWidth="1"/>
    <col min="16" max="17" width="15.42578125" style="1" bestFit="1" customWidth="1"/>
    <col min="18" max="16384" width="9.140625" style="1"/>
  </cols>
  <sheetData>
    <row r="1" spans="1:16" ht="75" customHeight="1" x14ac:dyDescent="0.25"/>
    <row r="2" spans="1:16" x14ac:dyDescent="0.25">
      <c r="A2" s="1" t="s">
        <v>266</v>
      </c>
      <c r="B2" s="1" t="s">
        <v>267</v>
      </c>
      <c r="C2" s="1" t="s">
        <v>269</v>
      </c>
      <c r="D2" s="11" t="s">
        <v>0</v>
      </c>
      <c r="E2" s="1" t="s">
        <v>1</v>
      </c>
      <c r="F2" s="1" t="s">
        <v>2</v>
      </c>
      <c r="G2" s="1" t="s">
        <v>4</v>
      </c>
      <c r="H2" s="1" t="s">
        <v>6</v>
      </c>
      <c r="I2" s="1" t="s">
        <v>3</v>
      </c>
      <c r="J2" s="1" t="s">
        <v>5</v>
      </c>
      <c r="K2" s="1" t="s">
        <v>262</v>
      </c>
      <c r="L2" s="1" t="s">
        <v>290</v>
      </c>
      <c r="M2" s="1" t="s">
        <v>291</v>
      </c>
      <c r="N2" s="1" t="s">
        <v>292</v>
      </c>
      <c r="O2" s="1" t="s">
        <v>272</v>
      </c>
      <c r="P2" s="1" t="s">
        <v>273</v>
      </c>
    </row>
    <row r="3" spans="1:16" x14ac:dyDescent="0.25">
      <c r="A3" s="1" t="s">
        <v>25</v>
      </c>
      <c r="B3" s="7" t="str">
        <f>CONCATENATE("CNSARG",TEXT(consArgamassa[[#This Row],[Ordem]],"00000"))</f>
        <v>CNSARG00001</v>
      </c>
      <c r="C3" s="7">
        <v>1</v>
      </c>
      <c r="D3" s="10">
        <f>VLOOKUP(consArgamassa[[#This Row],[RecebID]],recebArgamassa[[RecebID]:[Insumo]],3,FALSE)</f>
        <v>44562</v>
      </c>
      <c r="E3" s="7" t="str">
        <f>VLOOKUP(consArgamassa[[#This Row],[RecebID]],recebArgamassa[[RecebID]:[Insumo]],4,FALSE)</f>
        <v>Argamassa Estabilizada</v>
      </c>
      <c r="F3" s="1" t="s">
        <v>264</v>
      </c>
      <c r="G3" s="1" t="s">
        <v>255</v>
      </c>
      <c r="H3" s="1">
        <v>6</v>
      </c>
      <c r="I3" s="1" t="s">
        <v>9</v>
      </c>
      <c r="K3" s="2">
        <v>194.5</v>
      </c>
      <c r="L3" s="23">
        <f>IFERROR(VLOOKUP(consArgamassa[[#This Row],[Serviço]],Tabela4[],5,FALSE),"")</f>
        <v>1.3352499999999998</v>
      </c>
      <c r="M3" s="22">
        <f>VLOOKUP(consArgamassa[[#This Row],[RecebID]],recebArgamassa[],14,FALSE)</f>
        <v>464.75</v>
      </c>
      <c r="N3" s="22">
        <f>IFERROR(VLOOKUP(consArgamassa[[#This Row],[Serviço]],Tabela4[],6,FALSE),"")</f>
        <v>500</v>
      </c>
      <c r="O3" s="1" t="s">
        <v>274</v>
      </c>
      <c r="P3" s="13">
        <v>36892</v>
      </c>
    </row>
    <row r="4" spans="1:16" x14ac:dyDescent="0.25">
      <c r="A4" s="1" t="s">
        <v>26</v>
      </c>
      <c r="B4" s="7" t="str">
        <f>CONCATENATE("CNSARG",TEXT(consArgamassa[[#This Row],[Ordem]],"00000"))</f>
        <v>CNSARG00002</v>
      </c>
      <c r="C4" s="7">
        <v>2</v>
      </c>
      <c r="D4" s="10">
        <f>VLOOKUP(consArgamassa[[#This Row],[RecebID]],recebArgamassa[[RecebID]:[Insumo]],3,FALSE)</f>
        <v>44868</v>
      </c>
      <c r="E4" s="7" t="str">
        <f>VLOOKUP(consArgamassa[[#This Row],[RecebID]],recebArgamassa[[RecebID]:[Insumo]],4,FALSE)</f>
        <v>Argamassa Estabilizada</v>
      </c>
      <c r="F4" s="1" t="s">
        <v>264</v>
      </c>
      <c r="G4" s="1" t="s">
        <v>255</v>
      </c>
      <c r="H4" s="1">
        <v>7</v>
      </c>
      <c r="I4" s="1" t="s">
        <v>8</v>
      </c>
      <c r="K4" s="2">
        <v>6</v>
      </c>
      <c r="L4" s="23">
        <f>IFERROR(VLOOKUP(consArgamassa[[#This Row],[Serviço]],Tabela4[],5,FALSE),"")</f>
        <v>1.3352499999999998</v>
      </c>
      <c r="M4" s="22">
        <f>VLOOKUP(consArgamassa[[#This Row],[RecebID]],recebArgamassa[],14,FALSE)</f>
        <v>464.75</v>
      </c>
      <c r="N4" s="22">
        <f>IFERROR(VLOOKUP(consArgamassa[[#This Row],[Serviço]],Tabela4[],6,FALSE),"")</f>
        <v>500</v>
      </c>
      <c r="O4" s="1" t="s">
        <v>274</v>
      </c>
      <c r="P4" s="13">
        <v>36892</v>
      </c>
    </row>
    <row r="5" spans="1:16" x14ac:dyDescent="0.25">
      <c r="A5" s="1" t="s">
        <v>27</v>
      </c>
      <c r="B5" s="7" t="str">
        <f>CONCATENATE("CNSARG",TEXT(consArgamassa[[#This Row],[Ordem]],"00000"))</f>
        <v>CNSARG00003</v>
      </c>
      <c r="C5" s="7">
        <v>3</v>
      </c>
      <c r="D5" s="10">
        <f>VLOOKUP(consArgamassa[[#This Row],[RecebID]],recebArgamassa[[RecebID]:[Insumo]],3,FALSE)</f>
        <v>44868</v>
      </c>
      <c r="E5" s="7" t="str">
        <f>VLOOKUP(consArgamassa[[#This Row],[RecebID]],recebArgamassa[[RecebID]:[Insumo]],4,FALSE)</f>
        <v>Argamassa Estabilizada</v>
      </c>
      <c r="F5" s="1" t="s">
        <v>250</v>
      </c>
      <c r="G5" s="1" t="s">
        <v>270</v>
      </c>
      <c r="H5" s="1" t="s">
        <v>296</v>
      </c>
      <c r="I5" s="1" t="s">
        <v>10</v>
      </c>
      <c r="J5" s="1" t="s">
        <v>237</v>
      </c>
      <c r="K5" s="2">
        <v>2</v>
      </c>
      <c r="L5" s="23">
        <f>IFERROR(VLOOKUP(consArgamassa[[#This Row],[Serviço]],Tabela4[],5,FALSE),"")</f>
        <v>0</v>
      </c>
      <c r="M5" s="22">
        <f>VLOOKUP(consArgamassa[[#This Row],[RecebID]],recebArgamassa[],14,FALSE)</f>
        <v>464.75</v>
      </c>
      <c r="N5" s="22">
        <f>IFERROR(VLOOKUP(consArgamassa[[#This Row],[Serviço]],Tabela4[],6,FALSE),"")</f>
        <v>500</v>
      </c>
      <c r="O5" s="1" t="s">
        <v>274</v>
      </c>
      <c r="P5" s="13">
        <v>36892</v>
      </c>
    </row>
    <row r="6" spans="1:16" x14ac:dyDescent="0.25">
      <c r="A6" s="1" t="s">
        <v>28</v>
      </c>
      <c r="B6" s="7" t="str">
        <f>CONCATENATE("CNSARG",TEXT(consArgamassa[[#This Row],[Ordem]],"00000"))</f>
        <v>CNSARG00004</v>
      </c>
      <c r="C6" s="7">
        <v>4</v>
      </c>
      <c r="D6" s="10">
        <f>VLOOKUP(consArgamassa[[#This Row],[RecebID]],recebArgamassa[[RecebID]:[Insumo]],3,FALSE)</f>
        <v>44872</v>
      </c>
      <c r="E6" s="7" t="str">
        <f>VLOOKUP(consArgamassa[[#This Row],[RecebID]],recebArgamassa[[RecebID]:[Insumo]],4,FALSE)</f>
        <v>Argamassa Estabilizada</v>
      </c>
      <c r="F6" s="1" t="s">
        <v>264</v>
      </c>
      <c r="G6" s="1" t="s">
        <v>255</v>
      </c>
      <c r="H6" s="1">
        <v>7</v>
      </c>
      <c r="I6" s="1" t="s">
        <v>7</v>
      </c>
      <c r="K6" s="2">
        <v>6</v>
      </c>
      <c r="L6" s="23">
        <f>IFERROR(VLOOKUP(consArgamassa[[#This Row],[Serviço]],Tabela4[],5,FALSE),"")</f>
        <v>1.3352499999999998</v>
      </c>
      <c r="M6" s="22">
        <f>VLOOKUP(consArgamassa[[#This Row],[RecebID]],recebArgamassa[],14,FALSE)</f>
        <v>464.75</v>
      </c>
      <c r="N6" s="22">
        <f>IFERROR(VLOOKUP(consArgamassa[[#This Row],[Serviço]],Tabela4[],6,FALSE),"")</f>
        <v>500</v>
      </c>
      <c r="O6" s="1" t="s">
        <v>274</v>
      </c>
      <c r="P6" s="13">
        <v>36892</v>
      </c>
    </row>
    <row r="7" spans="1:16" x14ac:dyDescent="0.25">
      <c r="A7" s="1" t="s">
        <v>29</v>
      </c>
      <c r="B7" s="7" t="str">
        <f>CONCATENATE("CNSARG",TEXT(consArgamassa[[#This Row],[Ordem]],"00000"))</f>
        <v>CNSARG00005</v>
      </c>
      <c r="C7" s="7">
        <v>5</v>
      </c>
      <c r="D7" s="10">
        <f>VLOOKUP(consArgamassa[[#This Row],[RecebID]],recebArgamassa[[RecebID]:[Insumo]],3,FALSE)</f>
        <v>44873</v>
      </c>
      <c r="E7" s="7" t="str">
        <f>VLOOKUP(consArgamassa[[#This Row],[RecebID]],recebArgamassa[[RecebID]:[Insumo]],4,FALSE)</f>
        <v>Argamassa Estabilizada</v>
      </c>
      <c r="F7" s="1" t="s">
        <v>264</v>
      </c>
      <c r="G7" s="1" t="s">
        <v>255</v>
      </c>
      <c r="H7" s="1">
        <v>7</v>
      </c>
      <c r="I7" s="1" t="s">
        <v>7</v>
      </c>
      <c r="K7" s="2">
        <v>5</v>
      </c>
      <c r="L7" s="23">
        <f>IFERROR(VLOOKUP(consArgamassa[[#This Row],[Serviço]],Tabela4[],5,FALSE),"")</f>
        <v>1.3352499999999998</v>
      </c>
      <c r="M7" s="22">
        <f>VLOOKUP(consArgamassa[[#This Row],[RecebID]],recebArgamassa[],14,FALSE)</f>
        <v>464.75</v>
      </c>
      <c r="N7" s="22">
        <f>IFERROR(VLOOKUP(consArgamassa[[#This Row],[Serviço]],Tabela4[],6,FALSE),"")</f>
        <v>500</v>
      </c>
      <c r="O7" s="1" t="s">
        <v>274</v>
      </c>
      <c r="P7" s="13">
        <v>36892</v>
      </c>
    </row>
    <row r="8" spans="1:16" x14ac:dyDescent="0.25">
      <c r="A8" s="1" t="s">
        <v>30</v>
      </c>
      <c r="B8" s="7" t="str">
        <f>CONCATENATE("CNSARG",TEXT(consArgamassa[[#This Row],[Ordem]],"00000"))</f>
        <v>CNSARG00006</v>
      </c>
      <c r="C8" s="7">
        <v>6</v>
      </c>
      <c r="D8" s="10">
        <f>VLOOKUP(consArgamassa[[#This Row],[RecebID]],recebArgamassa[[RecebID]:[Insumo]],3,FALSE)</f>
        <v>44875</v>
      </c>
      <c r="E8" s="7" t="str">
        <f>VLOOKUP(consArgamassa[[#This Row],[RecebID]],recebArgamassa[[RecebID]:[Insumo]],4,FALSE)</f>
        <v>Argamassa Estabilizada</v>
      </c>
      <c r="F8" s="1" t="s">
        <v>264</v>
      </c>
      <c r="G8" s="1" t="s">
        <v>255</v>
      </c>
      <c r="H8" s="1">
        <v>7</v>
      </c>
      <c r="I8" s="1" t="s">
        <v>10</v>
      </c>
      <c r="K8" s="2">
        <v>7</v>
      </c>
      <c r="L8" s="23">
        <f>IFERROR(VLOOKUP(consArgamassa[[#This Row],[Serviço]],Tabela4[],5,FALSE),"")</f>
        <v>1.3352499999999998</v>
      </c>
      <c r="M8" s="22">
        <f>VLOOKUP(consArgamassa[[#This Row],[RecebID]],recebArgamassa[],14,FALSE)</f>
        <v>464.75</v>
      </c>
      <c r="N8" s="22">
        <f>IFERROR(VLOOKUP(consArgamassa[[#This Row],[Serviço]],Tabela4[],6,FALSE),"")</f>
        <v>500</v>
      </c>
      <c r="O8" s="1" t="s">
        <v>274</v>
      </c>
      <c r="P8" s="13">
        <v>36892</v>
      </c>
    </row>
    <row r="9" spans="1:16" x14ac:dyDescent="0.25">
      <c r="A9" s="1" t="s">
        <v>31</v>
      </c>
      <c r="B9" s="7" t="str">
        <f>CONCATENATE("CNSARG",TEXT(consArgamassa[[#This Row],[Ordem]],"00000"))</f>
        <v>CNSARG00007</v>
      </c>
      <c r="C9" s="7">
        <v>7</v>
      </c>
      <c r="D9" s="10">
        <f>VLOOKUP(consArgamassa[[#This Row],[RecebID]],recebArgamassa[[RecebID]:[Insumo]],3,FALSE)</f>
        <v>44876</v>
      </c>
      <c r="E9" s="7" t="str">
        <f>VLOOKUP(consArgamassa[[#This Row],[RecebID]],recebArgamassa[[RecebID]:[Insumo]],4,FALSE)</f>
        <v>Argamassa Estabilizada</v>
      </c>
      <c r="F9" s="1" t="s">
        <v>264</v>
      </c>
      <c r="G9" s="1" t="s">
        <v>255</v>
      </c>
      <c r="H9" s="1">
        <v>7</v>
      </c>
      <c r="I9" s="1" t="s">
        <v>10</v>
      </c>
      <c r="K9" s="2">
        <v>4</v>
      </c>
      <c r="L9" s="23">
        <f>IFERROR(VLOOKUP(consArgamassa[[#This Row],[Serviço]],Tabela4[],5,FALSE),"")</f>
        <v>1.3352499999999998</v>
      </c>
      <c r="M9" s="22">
        <f>VLOOKUP(consArgamassa[[#This Row],[RecebID]],recebArgamassa[],14,FALSE)</f>
        <v>464.75</v>
      </c>
      <c r="N9" s="22">
        <f>IFERROR(VLOOKUP(consArgamassa[[#This Row],[Serviço]],Tabela4[],6,FALSE),"")</f>
        <v>500</v>
      </c>
      <c r="O9" s="1" t="s">
        <v>274</v>
      </c>
      <c r="P9" s="13">
        <v>36892</v>
      </c>
    </row>
    <row r="10" spans="1:16" x14ac:dyDescent="0.25">
      <c r="A10" s="1" t="s">
        <v>32</v>
      </c>
      <c r="B10" s="7" t="str">
        <f>CONCATENATE("CNSARG",TEXT(consArgamassa[[#This Row],[Ordem]],"00000"))</f>
        <v>CNSARG00008</v>
      </c>
      <c r="C10" s="7">
        <v>8</v>
      </c>
      <c r="D10" s="10">
        <f>VLOOKUP(consArgamassa[[#This Row],[RecebID]],recebArgamassa[[RecebID]:[Insumo]],3,FALSE)</f>
        <v>44876</v>
      </c>
      <c r="E10" s="7" t="str">
        <f>VLOOKUP(consArgamassa[[#This Row],[RecebID]],recebArgamassa[[RecebID]:[Insumo]],4,FALSE)</f>
        <v>Argamassa Estabilizada</v>
      </c>
      <c r="F10" s="1" t="s">
        <v>253</v>
      </c>
      <c r="G10" s="1" t="s">
        <v>256</v>
      </c>
      <c r="I10" s="1" t="s">
        <v>10</v>
      </c>
      <c r="J10" s="1" t="s">
        <v>244</v>
      </c>
      <c r="K10" s="2">
        <v>2</v>
      </c>
      <c r="L10" s="23">
        <f>IFERROR(VLOOKUP(consArgamassa[[#This Row],[Serviço]],Tabela4[],5,FALSE),"")</f>
        <v>0</v>
      </c>
      <c r="M10" s="22">
        <f>VLOOKUP(consArgamassa[[#This Row],[RecebID]],recebArgamassa[],14,FALSE)</f>
        <v>464.75</v>
      </c>
      <c r="N10" s="22">
        <f>IFERROR(VLOOKUP(consArgamassa[[#This Row],[Serviço]],Tabela4[],6,FALSE),"")</f>
        <v>500</v>
      </c>
      <c r="O10" s="1" t="s">
        <v>274</v>
      </c>
      <c r="P10" s="13">
        <v>36892</v>
      </c>
    </row>
    <row r="11" spans="1:16" x14ac:dyDescent="0.25">
      <c r="A11" s="1" t="s">
        <v>33</v>
      </c>
      <c r="B11" s="7" t="str">
        <f>CONCATENATE("CNSARG",TEXT(consArgamassa[[#This Row],[Ordem]],"00000"))</f>
        <v>CNSARG00009</v>
      </c>
      <c r="C11" s="7">
        <v>9</v>
      </c>
      <c r="D11" s="10">
        <f>VLOOKUP(consArgamassa[[#This Row],[RecebID]],recebArgamassa[[RecebID]:[Insumo]],3,FALSE)</f>
        <v>44881</v>
      </c>
      <c r="E11" s="7" t="str">
        <f>VLOOKUP(consArgamassa[[#This Row],[RecebID]],recebArgamassa[[RecebID]:[Insumo]],4,FALSE)</f>
        <v>Argamassa Estabilizada</v>
      </c>
      <c r="F11" s="1" t="s">
        <v>264</v>
      </c>
      <c r="G11" s="1" t="s">
        <v>256</v>
      </c>
      <c r="H11" s="1">
        <v>7</v>
      </c>
      <c r="I11" s="1" t="s">
        <v>9</v>
      </c>
      <c r="K11" s="2">
        <v>7</v>
      </c>
      <c r="L11" s="23">
        <f>IFERROR(VLOOKUP(consArgamassa[[#This Row],[Serviço]],Tabela4[],5,FALSE),"")</f>
        <v>1.3352499999999998</v>
      </c>
      <c r="M11" s="22">
        <f>VLOOKUP(consArgamassa[[#This Row],[RecebID]],recebArgamassa[],14,FALSE)</f>
        <v>464.75</v>
      </c>
      <c r="N11" s="22">
        <f>IFERROR(VLOOKUP(consArgamassa[[#This Row],[Serviço]],Tabela4[],6,FALSE),"")</f>
        <v>500</v>
      </c>
      <c r="O11" s="1" t="s">
        <v>274</v>
      </c>
      <c r="P11" s="13">
        <v>36892</v>
      </c>
    </row>
    <row r="12" spans="1:16" x14ac:dyDescent="0.25">
      <c r="A12" s="1" t="s">
        <v>34</v>
      </c>
      <c r="B12" s="7" t="str">
        <f>CONCATENATE("CNSARG",TEXT(consArgamassa[[#This Row],[Ordem]],"00000"))</f>
        <v>CNSARG00010</v>
      </c>
      <c r="C12" s="7">
        <v>10</v>
      </c>
      <c r="D12" s="10">
        <f>VLOOKUP(consArgamassa[[#This Row],[RecebID]],recebArgamassa[[RecebID]:[Insumo]],3,FALSE)</f>
        <v>44882</v>
      </c>
      <c r="E12" s="7" t="str">
        <f>VLOOKUP(consArgamassa[[#This Row],[RecebID]],recebArgamassa[[RecebID]:[Insumo]],4,FALSE)</f>
        <v>Argamassa Estabilizada</v>
      </c>
      <c r="F12" s="1" t="s">
        <v>264</v>
      </c>
      <c r="G12" s="1" t="s">
        <v>256</v>
      </c>
      <c r="H12" s="1">
        <v>7</v>
      </c>
      <c r="I12" s="1" t="s">
        <v>9</v>
      </c>
      <c r="K12" s="2">
        <v>4</v>
      </c>
      <c r="L12" s="23">
        <f>IFERROR(VLOOKUP(consArgamassa[[#This Row],[Serviço]],Tabela4[],5,FALSE),"")</f>
        <v>1.3352499999999998</v>
      </c>
      <c r="M12" s="22">
        <f>VLOOKUP(consArgamassa[[#This Row],[RecebID]],recebArgamassa[],14,FALSE)</f>
        <v>464.75</v>
      </c>
      <c r="N12" s="22">
        <f>IFERROR(VLOOKUP(consArgamassa[[#This Row],[Serviço]],Tabela4[],6,FALSE),"")</f>
        <v>500</v>
      </c>
      <c r="O12" s="1" t="s">
        <v>274</v>
      </c>
      <c r="P12" s="13">
        <v>36892</v>
      </c>
    </row>
    <row r="13" spans="1:16" x14ac:dyDescent="0.25">
      <c r="A13" s="1" t="s">
        <v>35</v>
      </c>
      <c r="B13" s="7" t="str">
        <f>CONCATENATE("CNSARG",TEXT(consArgamassa[[#This Row],[Ordem]],"00000"))</f>
        <v>CNSARG00011</v>
      </c>
      <c r="C13" s="7">
        <v>11</v>
      </c>
      <c r="D13" s="10">
        <f>VLOOKUP(consArgamassa[[#This Row],[RecebID]],recebArgamassa[[RecebID]:[Insumo]],3,FALSE)</f>
        <v>44882</v>
      </c>
      <c r="E13" s="7" t="str">
        <f>VLOOKUP(consArgamassa[[#This Row],[RecebID]],recebArgamassa[[RecebID]:[Insumo]],4,FALSE)</f>
        <v>Argamassa Estabilizada</v>
      </c>
      <c r="F13" s="1" t="s">
        <v>264</v>
      </c>
      <c r="G13" s="1" t="s">
        <v>256</v>
      </c>
      <c r="H13" s="1">
        <v>7</v>
      </c>
      <c r="I13" s="1" t="s">
        <v>8</v>
      </c>
      <c r="K13" s="2">
        <v>1</v>
      </c>
      <c r="L13" s="23">
        <f>IFERROR(VLOOKUP(consArgamassa[[#This Row],[Serviço]],Tabela4[],5,FALSE),"")</f>
        <v>1.3352499999999998</v>
      </c>
      <c r="M13" s="22">
        <f>VLOOKUP(consArgamassa[[#This Row],[RecebID]],recebArgamassa[],14,FALSE)</f>
        <v>464.75</v>
      </c>
      <c r="N13" s="22">
        <f>IFERROR(VLOOKUP(consArgamassa[[#This Row],[Serviço]],Tabela4[],6,FALSE),"")</f>
        <v>500</v>
      </c>
      <c r="O13" s="1" t="s">
        <v>274</v>
      </c>
      <c r="P13" s="13">
        <v>36892</v>
      </c>
    </row>
    <row r="14" spans="1:16" x14ac:dyDescent="0.25">
      <c r="A14" s="1" t="s">
        <v>36</v>
      </c>
      <c r="B14" s="7" t="str">
        <f>CONCATENATE("CNSARG",TEXT(consArgamassa[[#This Row],[Ordem]],"00000"))</f>
        <v>CNSARG00012</v>
      </c>
      <c r="C14" s="7">
        <v>12</v>
      </c>
      <c r="D14" s="10">
        <f>VLOOKUP(consArgamassa[[#This Row],[RecebID]],recebArgamassa[[RecebID]:[Insumo]],3,FALSE)</f>
        <v>44886</v>
      </c>
      <c r="E14" s="7" t="str">
        <f>VLOOKUP(consArgamassa[[#This Row],[RecebID]],recebArgamassa[[RecebID]:[Insumo]],4,FALSE)</f>
        <v>Argamassa Estabilizada</v>
      </c>
      <c r="F14" s="1" t="s">
        <v>264</v>
      </c>
      <c r="G14" s="1" t="s">
        <v>256</v>
      </c>
      <c r="H14" s="1">
        <v>7</v>
      </c>
      <c r="I14" s="1" t="s">
        <v>8</v>
      </c>
      <c r="K14" s="2">
        <v>6</v>
      </c>
      <c r="L14" s="23">
        <f>IFERROR(VLOOKUP(consArgamassa[[#This Row],[Serviço]],Tabela4[],5,FALSE),"")</f>
        <v>1.3352499999999998</v>
      </c>
      <c r="M14" s="22">
        <f>VLOOKUP(consArgamassa[[#This Row],[RecebID]],recebArgamassa[],14,FALSE)</f>
        <v>464.75</v>
      </c>
      <c r="N14" s="22">
        <f>IFERROR(VLOOKUP(consArgamassa[[#This Row],[Serviço]],Tabela4[],6,FALSE),"")</f>
        <v>500</v>
      </c>
      <c r="O14" s="1" t="s">
        <v>274</v>
      </c>
      <c r="P14" s="13">
        <v>36892</v>
      </c>
    </row>
    <row r="15" spans="1:16" x14ac:dyDescent="0.25">
      <c r="A15" s="1" t="s">
        <v>37</v>
      </c>
      <c r="B15" s="7" t="str">
        <f>CONCATENATE("CNSARG",TEXT(consArgamassa[[#This Row],[Ordem]],"00000"))</f>
        <v>CNSARG00013</v>
      </c>
      <c r="C15" s="7">
        <v>13</v>
      </c>
      <c r="D15" s="10">
        <f>VLOOKUP(consArgamassa[[#This Row],[RecebID]],recebArgamassa[[RecebID]:[Insumo]],3,FALSE)</f>
        <v>44887</v>
      </c>
      <c r="E15" s="7" t="str">
        <f>VLOOKUP(consArgamassa[[#This Row],[RecebID]],recebArgamassa[[RecebID]:[Insumo]],4,FALSE)</f>
        <v>Argamassa Estabilizada</v>
      </c>
      <c r="F15" s="1" t="s">
        <v>264</v>
      </c>
      <c r="G15" s="1" t="s">
        <v>256</v>
      </c>
      <c r="H15" s="1">
        <v>7</v>
      </c>
      <c r="I15" s="1" t="s">
        <v>8</v>
      </c>
      <c r="K15" s="2">
        <v>4</v>
      </c>
      <c r="L15" s="23">
        <f>IFERROR(VLOOKUP(consArgamassa[[#This Row],[Serviço]],Tabela4[],5,FALSE),"")</f>
        <v>1.3352499999999998</v>
      </c>
      <c r="M15" s="22">
        <f>VLOOKUP(consArgamassa[[#This Row],[RecebID]],recebArgamassa[],14,FALSE)</f>
        <v>464.75</v>
      </c>
      <c r="N15" s="22">
        <f>IFERROR(VLOOKUP(consArgamassa[[#This Row],[Serviço]],Tabela4[],6,FALSE),"")</f>
        <v>500</v>
      </c>
      <c r="O15" s="1" t="s">
        <v>274</v>
      </c>
      <c r="P15" s="13">
        <v>36892</v>
      </c>
    </row>
    <row r="16" spans="1:16" x14ac:dyDescent="0.25">
      <c r="A16" s="1" t="s">
        <v>38</v>
      </c>
      <c r="B16" s="7" t="str">
        <f>CONCATENATE("CNSARG",TEXT(consArgamassa[[#This Row],[Ordem]],"00000"))</f>
        <v>CNSARG00014</v>
      </c>
      <c r="C16" s="7">
        <v>14</v>
      </c>
      <c r="D16" s="10">
        <f>VLOOKUP(consArgamassa[[#This Row],[RecebID]],recebArgamassa[[RecebID]:[Insumo]],3,FALSE)</f>
        <v>44887</v>
      </c>
      <c r="E16" s="7" t="str">
        <f>VLOOKUP(consArgamassa[[#This Row],[RecebID]],recebArgamassa[[RecebID]:[Insumo]],4,FALSE)</f>
        <v>Argamassa Estabilizada</v>
      </c>
      <c r="F16" s="1" t="s">
        <v>264</v>
      </c>
      <c r="G16" s="1" t="s">
        <v>256</v>
      </c>
      <c r="H16" s="1">
        <v>7</v>
      </c>
      <c r="I16" s="1" t="s">
        <v>7</v>
      </c>
      <c r="K16" s="2">
        <v>1</v>
      </c>
      <c r="L16" s="23">
        <f>IFERROR(VLOOKUP(consArgamassa[[#This Row],[Serviço]],Tabela4[],5,FALSE),"")</f>
        <v>1.3352499999999998</v>
      </c>
      <c r="M16" s="22">
        <f>VLOOKUP(consArgamassa[[#This Row],[RecebID]],recebArgamassa[],14,FALSE)</f>
        <v>464.75</v>
      </c>
      <c r="N16" s="22">
        <f>IFERROR(VLOOKUP(consArgamassa[[#This Row],[Serviço]],Tabela4[],6,FALSE),"")</f>
        <v>500</v>
      </c>
      <c r="O16" s="1" t="s">
        <v>274</v>
      </c>
      <c r="P16" s="13">
        <v>36892</v>
      </c>
    </row>
    <row r="17" spans="1:16" x14ac:dyDescent="0.25">
      <c r="A17" s="1" t="s">
        <v>39</v>
      </c>
      <c r="B17" s="7" t="str">
        <f>CONCATENATE("CNSARG",TEXT(consArgamassa[[#This Row],[Ordem]],"00000"))</f>
        <v>CNSARG00015</v>
      </c>
      <c r="C17" s="7">
        <v>15</v>
      </c>
      <c r="D17" s="10">
        <f>VLOOKUP(consArgamassa[[#This Row],[RecebID]],recebArgamassa[[RecebID]:[Insumo]],3,FALSE)</f>
        <v>44889</v>
      </c>
      <c r="E17" s="7" t="str">
        <f>VLOOKUP(consArgamassa[[#This Row],[RecebID]],recebArgamassa[[RecebID]:[Insumo]],4,FALSE)</f>
        <v>Argamassa Estabilizada</v>
      </c>
      <c r="F17" s="1" t="s">
        <v>264</v>
      </c>
      <c r="G17" s="1" t="s">
        <v>256</v>
      </c>
      <c r="H17" s="1">
        <v>7</v>
      </c>
      <c r="I17" s="1" t="s">
        <v>7</v>
      </c>
      <c r="K17" s="2">
        <v>5</v>
      </c>
      <c r="L17" s="23">
        <f>IFERROR(VLOOKUP(consArgamassa[[#This Row],[Serviço]],Tabela4[],5,FALSE),"")</f>
        <v>1.3352499999999998</v>
      </c>
      <c r="M17" s="22">
        <f>VLOOKUP(consArgamassa[[#This Row],[RecebID]],recebArgamassa[],14,FALSE)</f>
        <v>464.75</v>
      </c>
      <c r="N17" s="22">
        <f>IFERROR(VLOOKUP(consArgamassa[[#This Row],[Serviço]],Tabela4[],6,FALSE),"")</f>
        <v>500</v>
      </c>
      <c r="O17" s="1" t="s">
        <v>274</v>
      </c>
      <c r="P17" s="13">
        <v>36892</v>
      </c>
    </row>
    <row r="18" spans="1:16" x14ac:dyDescent="0.25">
      <c r="A18" s="1" t="s">
        <v>40</v>
      </c>
      <c r="B18" s="7" t="str">
        <f>CONCATENATE("CNSARG",TEXT(consArgamassa[[#This Row],[Ordem]],"00000"))</f>
        <v>CNSARG00016</v>
      </c>
      <c r="C18" s="7">
        <v>16</v>
      </c>
      <c r="D18" s="10">
        <f>VLOOKUP(consArgamassa[[#This Row],[RecebID]],recebArgamassa[[RecebID]:[Insumo]],3,FALSE)</f>
        <v>44893</v>
      </c>
      <c r="E18" s="7" t="str">
        <f>VLOOKUP(consArgamassa[[#This Row],[RecebID]],recebArgamassa[[RecebID]:[Insumo]],4,FALSE)</f>
        <v>Argamassa Estabilizada</v>
      </c>
      <c r="F18" s="1" t="s">
        <v>264</v>
      </c>
      <c r="G18" s="1" t="s">
        <v>256</v>
      </c>
      <c r="H18" s="1">
        <v>7</v>
      </c>
      <c r="I18" s="1" t="s">
        <v>7</v>
      </c>
      <c r="K18" s="2">
        <v>5</v>
      </c>
      <c r="L18" s="23">
        <f>IFERROR(VLOOKUP(consArgamassa[[#This Row],[Serviço]],Tabela4[],5,FALSE),"")</f>
        <v>1.3352499999999998</v>
      </c>
      <c r="M18" s="22">
        <f>VLOOKUP(consArgamassa[[#This Row],[RecebID]],recebArgamassa[],14,FALSE)</f>
        <v>464.75</v>
      </c>
      <c r="N18" s="22">
        <f>IFERROR(VLOOKUP(consArgamassa[[#This Row],[Serviço]],Tabela4[],6,FALSE),"")</f>
        <v>500</v>
      </c>
      <c r="O18" s="1" t="s">
        <v>274</v>
      </c>
      <c r="P18" s="13">
        <v>36892</v>
      </c>
    </row>
    <row r="19" spans="1:16" x14ac:dyDescent="0.25">
      <c r="A19" s="1" t="s">
        <v>41</v>
      </c>
      <c r="B19" s="7" t="str">
        <f>CONCATENATE("CNSARG",TEXT(consArgamassa[[#This Row],[Ordem]],"00000"))</f>
        <v>CNSARG00017</v>
      </c>
      <c r="C19" s="7">
        <v>17</v>
      </c>
      <c r="D19" s="10">
        <f>VLOOKUP(consArgamassa[[#This Row],[RecebID]],recebArgamassa[[RecebID]:[Insumo]],3,FALSE)</f>
        <v>44893</v>
      </c>
      <c r="E19" s="7" t="str">
        <f>VLOOKUP(consArgamassa[[#This Row],[RecebID]],recebArgamassa[[RecebID]:[Insumo]],4,FALSE)</f>
        <v>Argamassa Estabilizada</v>
      </c>
      <c r="F19" s="1" t="s">
        <v>264</v>
      </c>
      <c r="G19" s="1" t="s">
        <v>256</v>
      </c>
      <c r="H19" s="1">
        <v>7</v>
      </c>
      <c r="I19" s="1" t="s">
        <v>10</v>
      </c>
      <c r="K19" s="2">
        <v>2</v>
      </c>
      <c r="L19" s="23">
        <f>IFERROR(VLOOKUP(consArgamassa[[#This Row],[Serviço]],Tabela4[],5,FALSE),"")</f>
        <v>1.3352499999999998</v>
      </c>
      <c r="M19" s="22">
        <f>VLOOKUP(consArgamassa[[#This Row],[RecebID]],recebArgamassa[],14,FALSE)</f>
        <v>464.75</v>
      </c>
      <c r="N19" s="22">
        <f>IFERROR(VLOOKUP(consArgamassa[[#This Row],[Serviço]],Tabela4[],6,FALSE),"")</f>
        <v>500</v>
      </c>
      <c r="O19" s="1" t="s">
        <v>274</v>
      </c>
      <c r="P19" s="13">
        <v>36892</v>
      </c>
    </row>
    <row r="20" spans="1:16" x14ac:dyDescent="0.25">
      <c r="A20" s="1" t="s">
        <v>42</v>
      </c>
      <c r="B20" s="7" t="str">
        <f>CONCATENATE("CNSARG",TEXT(consArgamassa[[#This Row],[Ordem]],"00000"))</f>
        <v>CNSARG00018</v>
      </c>
      <c r="C20" s="7">
        <v>18</v>
      </c>
      <c r="D20" s="10">
        <f>VLOOKUP(consArgamassa[[#This Row],[RecebID]],recebArgamassa[[RecebID]:[Insumo]],3,FALSE)</f>
        <v>44896</v>
      </c>
      <c r="E20" s="7" t="str">
        <f>VLOOKUP(consArgamassa[[#This Row],[RecebID]],recebArgamassa[[RecebID]:[Insumo]],4,FALSE)</f>
        <v>Argamassa Estabilizada</v>
      </c>
      <c r="F20" s="1" t="s">
        <v>264</v>
      </c>
      <c r="G20" s="1" t="s">
        <v>256</v>
      </c>
      <c r="H20" s="1">
        <v>7</v>
      </c>
      <c r="I20" s="1" t="s">
        <v>10</v>
      </c>
      <c r="K20" s="2">
        <v>4</v>
      </c>
      <c r="L20" s="23">
        <f>IFERROR(VLOOKUP(consArgamassa[[#This Row],[Serviço]],Tabela4[],5,FALSE),"")</f>
        <v>1.3352499999999998</v>
      </c>
      <c r="M20" s="22">
        <f>VLOOKUP(consArgamassa[[#This Row],[RecebID]],recebArgamassa[],14,FALSE)</f>
        <v>464.75</v>
      </c>
      <c r="N20" s="22">
        <f>IFERROR(VLOOKUP(consArgamassa[[#This Row],[Serviço]],Tabela4[],6,FALSE),"")</f>
        <v>500</v>
      </c>
      <c r="O20" s="1" t="s">
        <v>274</v>
      </c>
      <c r="P20" s="13">
        <v>36892</v>
      </c>
    </row>
    <row r="21" spans="1:16" x14ac:dyDescent="0.25">
      <c r="A21" s="1" t="s">
        <v>43</v>
      </c>
      <c r="B21" s="7" t="str">
        <f>CONCATENATE("CNSARG",TEXT(consArgamassa[[#This Row],[Ordem]],"00000"))</f>
        <v>CNSARG00019</v>
      </c>
      <c r="C21" s="7">
        <v>19</v>
      </c>
      <c r="D21" s="10">
        <f>VLOOKUP(consArgamassa[[#This Row],[RecebID]],recebArgamassa[[RecebID]:[Insumo]],3,FALSE)</f>
        <v>44896</v>
      </c>
      <c r="E21" s="7" t="str">
        <f>VLOOKUP(consArgamassa[[#This Row],[RecebID]],recebArgamassa[[RecebID]:[Insumo]],4,FALSE)</f>
        <v>Argamassa Estabilizada</v>
      </c>
      <c r="F21" s="1" t="s">
        <v>250</v>
      </c>
      <c r="G21" s="1" t="s">
        <v>270</v>
      </c>
      <c r="H21" s="1" t="s">
        <v>296</v>
      </c>
      <c r="I21" s="1" t="s">
        <v>10</v>
      </c>
      <c r="J21" s="1" t="s">
        <v>240</v>
      </c>
      <c r="K21" s="2">
        <v>1</v>
      </c>
      <c r="L21" s="23">
        <f>IFERROR(VLOOKUP(consArgamassa[[#This Row],[Serviço]],Tabela4[],5,FALSE),"")</f>
        <v>0</v>
      </c>
      <c r="M21" s="22">
        <f>VLOOKUP(consArgamassa[[#This Row],[RecebID]],recebArgamassa[],14,FALSE)</f>
        <v>464.75</v>
      </c>
      <c r="N21" s="22">
        <f>IFERROR(VLOOKUP(consArgamassa[[#This Row],[Serviço]],Tabela4[],6,FALSE),"")</f>
        <v>500</v>
      </c>
      <c r="O21" s="1" t="s">
        <v>274</v>
      </c>
      <c r="P21" s="13">
        <v>36892</v>
      </c>
    </row>
    <row r="22" spans="1:16" x14ac:dyDescent="0.25">
      <c r="A22" s="1" t="s">
        <v>44</v>
      </c>
      <c r="B22" s="7" t="str">
        <f>CONCATENATE("CNSARG",TEXT(consArgamassa[[#This Row],[Ordem]],"00000"))</f>
        <v>CNSARG00020</v>
      </c>
      <c r="C22" s="7">
        <v>20</v>
      </c>
      <c r="D22" s="10">
        <f>VLOOKUP(consArgamassa[[#This Row],[RecebID]],recebArgamassa[[RecebID]:[Insumo]],3,FALSE)</f>
        <v>44900</v>
      </c>
      <c r="E22" s="7" t="str">
        <f>VLOOKUP(consArgamassa[[#This Row],[RecebID]],recebArgamassa[[RecebID]:[Insumo]],4,FALSE)</f>
        <v>Argamassa Estabilizada</v>
      </c>
      <c r="F22" s="1" t="s">
        <v>264</v>
      </c>
      <c r="G22" s="1" t="s">
        <v>256</v>
      </c>
      <c r="H22" s="1">
        <v>7</v>
      </c>
      <c r="I22" s="1" t="s">
        <v>10</v>
      </c>
      <c r="K22" s="2">
        <v>5</v>
      </c>
      <c r="L22" s="23">
        <f>IFERROR(VLOOKUP(consArgamassa[[#This Row],[Serviço]],Tabela4[],5,FALSE),"")</f>
        <v>1.3352499999999998</v>
      </c>
      <c r="M22" s="22">
        <f>VLOOKUP(consArgamassa[[#This Row],[RecebID]],recebArgamassa[],14,FALSE)</f>
        <v>464.75</v>
      </c>
      <c r="N22" s="22">
        <f>IFERROR(VLOOKUP(consArgamassa[[#This Row],[Serviço]],Tabela4[],6,FALSE),"")</f>
        <v>500</v>
      </c>
      <c r="O22" s="1" t="s">
        <v>274</v>
      </c>
      <c r="P22" s="13">
        <v>36892</v>
      </c>
    </row>
    <row r="23" spans="1:16" x14ac:dyDescent="0.25">
      <c r="A23" s="1" t="s">
        <v>45</v>
      </c>
      <c r="B23" s="7" t="str">
        <f>CONCATENATE("CNSARG",TEXT(consArgamassa[[#This Row],[Ordem]],"00000"))</f>
        <v>CNSARG00021</v>
      </c>
      <c r="C23" s="7">
        <v>21</v>
      </c>
      <c r="D23" s="10">
        <f>VLOOKUP(consArgamassa[[#This Row],[RecebID]],recebArgamassa[[RecebID]:[Insumo]],3,FALSE)</f>
        <v>44902</v>
      </c>
      <c r="E23" s="7" t="str">
        <f>VLOOKUP(consArgamassa[[#This Row],[RecebID]],recebArgamassa[[RecebID]:[Insumo]],4,FALSE)</f>
        <v>Argamassa Estabilizada</v>
      </c>
      <c r="F23" s="1" t="s">
        <v>264</v>
      </c>
      <c r="G23" s="1" t="s">
        <v>255</v>
      </c>
      <c r="H23" s="1">
        <v>8</v>
      </c>
      <c r="I23" s="1" t="s">
        <v>9</v>
      </c>
      <c r="K23" s="2">
        <v>5</v>
      </c>
      <c r="L23" s="23">
        <f>IFERROR(VLOOKUP(consArgamassa[[#This Row],[Serviço]],Tabela4[],5,FALSE),"")</f>
        <v>1.3352499999999998</v>
      </c>
      <c r="M23" s="22">
        <f>VLOOKUP(consArgamassa[[#This Row],[RecebID]],recebArgamassa[],14,FALSE)</f>
        <v>464.75</v>
      </c>
      <c r="N23" s="22">
        <f>IFERROR(VLOOKUP(consArgamassa[[#This Row],[Serviço]],Tabela4[],6,FALSE),"")</f>
        <v>500</v>
      </c>
      <c r="O23" s="1" t="s">
        <v>274</v>
      </c>
      <c r="P23" s="13">
        <v>36892</v>
      </c>
    </row>
    <row r="24" spans="1:16" x14ac:dyDescent="0.25">
      <c r="A24" s="1" t="s">
        <v>46</v>
      </c>
      <c r="B24" s="7" t="str">
        <f>CONCATENATE("CNSARG",TEXT(consArgamassa[[#This Row],[Ordem]],"00000"))</f>
        <v>CNSARG00022</v>
      </c>
      <c r="C24" s="7">
        <v>22</v>
      </c>
      <c r="D24" s="10">
        <f>VLOOKUP(consArgamassa[[#This Row],[RecebID]],recebArgamassa[[RecebID]:[Insumo]],3,FALSE)</f>
        <v>44907</v>
      </c>
      <c r="E24" s="7" t="str">
        <f>VLOOKUP(consArgamassa[[#This Row],[RecebID]],recebArgamassa[[RecebID]:[Insumo]],4,FALSE)</f>
        <v>Argamassa Estabilizada</v>
      </c>
      <c r="F24" s="1" t="s">
        <v>264</v>
      </c>
      <c r="G24" s="1" t="s">
        <v>255</v>
      </c>
      <c r="H24" s="1">
        <v>8</v>
      </c>
      <c r="I24" s="1" t="s">
        <v>8</v>
      </c>
      <c r="K24" s="2">
        <v>4</v>
      </c>
      <c r="L24" s="23">
        <f>IFERROR(VLOOKUP(consArgamassa[[#This Row],[Serviço]],Tabela4[],5,FALSE),"")</f>
        <v>1.3352499999999998</v>
      </c>
      <c r="M24" s="22">
        <f>VLOOKUP(consArgamassa[[#This Row],[RecebID]],recebArgamassa[],14,FALSE)</f>
        <v>464.75</v>
      </c>
      <c r="N24" s="22">
        <f>IFERROR(VLOOKUP(consArgamassa[[#This Row],[Serviço]],Tabela4[],6,FALSE),"")</f>
        <v>500</v>
      </c>
      <c r="O24" s="1" t="s">
        <v>274</v>
      </c>
      <c r="P24" s="13">
        <v>36892</v>
      </c>
    </row>
    <row r="25" spans="1:16" x14ac:dyDescent="0.25">
      <c r="A25" s="1" t="s">
        <v>47</v>
      </c>
      <c r="B25" s="7" t="str">
        <f>CONCATENATE("CNSARG",TEXT(consArgamassa[[#This Row],[Ordem]],"00000"))</f>
        <v>CNSARG00023</v>
      </c>
      <c r="C25" s="7">
        <v>23</v>
      </c>
      <c r="D25" s="10">
        <f>VLOOKUP(consArgamassa[[#This Row],[RecebID]],recebArgamassa[[RecebID]:[Insumo]],3,FALSE)</f>
        <v>44907</v>
      </c>
      <c r="E25" s="7" t="str">
        <f>VLOOKUP(consArgamassa[[#This Row],[RecebID]],recebArgamassa[[RecebID]:[Insumo]],4,FALSE)</f>
        <v>Argamassa Estabilizada</v>
      </c>
      <c r="F25" s="1" t="s">
        <v>268</v>
      </c>
      <c r="G25" s="1" t="s">
        <v>270</v>
      </c>
      <c r="H25" s="1" t="s">
        <v>297</v>
      </c>
      <c r="I25" s="1" t="s">
        <v>10</v>
      </c>
      <c r="J25" s="1" t="s">
        <v>242</v>
      </c>
      <c r="K25" s="2">
        <v>2</v>
      </c>
      <c r="L25" s="23">
        <f>IFERROR(VLOOKUP(consArgamassa[[#This Row],[Serviço]],Tabela4[],5,FALSE),"")</f>
        <v>0</v>
      </c>
      <c r="M25" s="22">
        <f>VLOOKUP(consArgamassa[[#This Row],[RecebID]],recebArgamassa[],14,FALSE)</f>
        <v>464.75</v>
      </c>
      <c r="N25" s="22">
        <f>IFERROR(VLOOKUP(consArgamassa[[#This Row],[Serviço]],Tabela4[],6,FALSE),"")</f>
        <v>500</v>
      </c>
      <c r="O25" s="1" t="s">
        <v>274</v>
      </c>
      <c r="P25" s="13">
        <v>36892</v>
      </c>
    </row>
    <row r="26" spans="1:16" x14ac:dyDescent="0.25">
      <c r="A26" s="1" t="s">
        <v>48</v>
      </c>
      <c r="B26" s="7" t="str">
        <f>CONCATENATE("CNSARG",TEXT(consArgamassa[[#This Row],[Ordem]],"00000"))</f>
        <v>CNSARG00024</v>
      </c>
      <c r="C26" s="7">
        <v>24</v>
      </c>
      <c r="D26" s="10">
        <f>VLOOKUP(consArgamassa[[#This Row],[RecebID]],recebArgamassa[[RecebID]:[Insumo]],3,FALSE)</f>
        <v>44908</v>
      </c>
      <c r="E26" s="7" t="str">
        <f>VLOOKUP(consArgamassa[[#This Row],[RecebID]],recebArgamassa[[RecebID]:[Insumo]],4,FALSE)</f>
        <v>Argamassa Estabilizada</v>
      </c>
      <c r="F26" s="1" t="s">
        <v>264</v>
      </c>
      <c r="G26" s="1" t="s">
        <v>255</v>
      </c>
      <c r="H26" s="1">
        <v>8</v>
      </c>
      <c r="I26" s="1" t="s">
        <v>8</v>
      </c>
      <c r="K26" s="2">
        <v>4</v>
      </c>
      <c r="L26" s="23">
        <f>IFERROR(VLOOKUP(consArgamassa[[#This Row],[Serviço]],Tabela4[],5,FALSE),"")</f>
        <v>1.3352499999999998</v>
      </c>
      <c r="M26" s="22">
        <f>VLOOKUP(consArgamassa[[#This Row],[RecebID]],recebArgamassa[],14,FALSE)</f>
        <v>464.75</v>
      </c>
      <c r="N26" s="22">
        <f>IFERROR(VLOOKUP(consArgamassa[[#This Row],[Serviço]],Tabela4[],6,FALSE),"")</f>
        <v>500</v>
      </c>
      <c r="O26" s="1" t="s">
        <v>274</v>
      </c>
      <c r="P26" s="13">
        <v>36892</v>
      </c>
    </row>
    <row r="27" spans="1:16" x14ac:dyDescent="0.25">
      <c r="A27" s="1" t="s">
        <v>49</v>
      </c>
      <c r="B27" s="7" t="str">
        <f>CONCATENATE("CNSARG",TEXT(consArgamassa[[#This Row],[Ordem]],"00000"))</f>
        <v>CNSARG00025</v>
      </c>
      <c r="C27" s="7">
        <v>25</v>
      </c>
      <c r="D27" s="10">
        <f>VLOOKUP(consArgamassa[[#This Row],[RecebID]],recebArgamassa[[RecebID]:[Insumo]],3,FALSE)</f>
        <v>44908</v>
      </c>
      <c r="E27" s="7" t="str">
        <f>VLOOKUP(consArgamassa[[#This Row],[RecebID]],recebArgamassa[[RecebID]:[Insumo]],4,FALSE)</f>
        <v>Argamassa Estabilizada</v>
      </c>
      <c r="F27" s="1" t="s">
        <v>248</v>
      </c>
      <c r="G27" s="1" t="s">
        <v>270</v>
      </c>
      <c r="H27" s="1">
        <v>1</v>
      </c>
      <c r="I27" s="1" t="s">
        <v>238</v>
      </c>
      <c r="J27" s="1" t="s">
        <v>238</v>
      </c>
      <c r="K27" s="2">
        <v>1</v>
      </c>
      <c r="L27" s="23">
        <f>IFERROR(VLOOKUP(consArgamassa[[#This Row],[Serviço]],Tabela4[],5,FALSE),"")</f>
        <v>1.98</v>
      </c>
      <c r="M27" s="22">
        <f>VLOOKUP(consArgamassa[[#This Row],[RecebID]],recebArgamassa[],14,FALSE)</f>
        <v>464.75</v>
      </c>
      <c r="N27" s="22">
        <f>IFERROR(VLOOKUP(consArgamassa[[#This Row],[Serviço]],Tabela4[],6,FALSE),"")</f>
        <v>500</v>
      </c>
      <c r="O27" s="1" t="s">
        <v>274</v>
      </c>
      <c r="P27" s="13">
        <v>36892</v>
      </c>
    </row>
    <row r="28" spans="1:16" x14ac:dyDescent="0.25">
      <c r="A28" s="1" t="s">
        <v>50</v>
      </c>
      <c r="B28" s="7" t="str">
        <f>CONCATENATE("CNSARG",TEXT(consArgamassa[[#This Row],[Ordem]],"00000"))</f>
        <v>CNSARG00026</v>
      </c>
      <c r="C28" s="7">
        <v>26</v>
      </c>
      <c r="D28" s="10">
        <f>VLOOKUP(consArgamassa[[#This Row],[RecebID]],recebArgamassa[[RecebID]:[Insumo]],3,FALSE)</f>
        <v>44909</v>
      </c>
      <c r="E28" s="7" t="str">
        <f>VLOOKUP(consArgamassa[[#This Row],[RecebID]],recebArgamassa[[RecebID]:[Insumo]],4,FALSE)</f>
        <v>Argamassa Estabilizada</v>
      </c>
      <c r="F28" s="1" t="s">
        <v>264</v>
      </c>
      <c r="G28" s="1" t="s">
        <v>255</v>
      </c>
      <c r="H28" s="1">
        <v>8</v>
      </c>
      <c r="I28" s="1" t="s">
        <v>7</v>
      </c>
      <c r="K28" s="2">
        <v>3</v>
      </c>
      <c r="L28" s="23">
        <f>IFERROR(VLOOKUP(consArgamassa[[#This Row],[Serviço]],Tabela4[],5,FALSE),"")</f>
        <v>1.3352499999999998</v>
      </c>
      <c r="M28" s="22">
        <f>VLOOKUP(consArgamassa[[#This Row],[RecebID]],recebArgamassa[],14,FALSE)</f>
        <v>464.75</v>
      </c>
      <c r="N28" s="22">
        <f>IFERROR(VLOOKUP(consArgamassa[[#This Row],[Serviço]],Tabela4[],6,FALSE),"")</f>
        <v>500</v>
      </c>
      <c r="O28" s="1" t="s">
        <v>274</v>
      </c>
      <c r="P28" s="13">
        <v>36892</v>
      </c>
    </row>
    <row r="29" spans="1:16" x14ac:dyDescent="0.25">
      <c r="A29" s="1" t="s">
        <v>51</v>
      </c>
      <c r="B29" s="7" t="str">
        <f>CONCATENATE("CNSARG",TEXT(consArgamassa[[#This Row],[Ordem]],"00000"))</f>
        <v>CNSARG00027</v>
      </c>
      <c r="C29" s="7">
        <v>27</v>
      </c>
      <c r="D29" s="10">
        <f>VLOOKUP(consArgamassa[[#This Row],[RecebID]],recebArgamassa[[RecebID]:[Insumo]],3,FALSE)</f>
        <v>44909</v>
      </c>
      <c r="E29" s="7" t="str">
        <f>VLOOKUP(consArgamassa[[#This Row],[RecebID]],recebArgamassa[[RecebID]:[Insumo]],4,FALSE)</f>
        <v>Argamassa Estabilizada</v>
      </c>
      <c r="F29" s="1" t="s">
        <v>248</v>
      </c>
      <c r="G29" s="1" t="s">
        <v>270</v>
      </c>
      <c r="H29" s="1">
        <v>2</v>
      </c>
      <c r="I29" s="1" t="s">
        <v>238</v>
      </c>
      <c r="J29" s="1" t="s">
        <v>238</v>
      </c>
      <c r="K29" s="2">
        <v>1</v>
      </c>
      <c r="L29" s="23">
        <f>IFERROR(VLOOKUP(consArgamassa[[#This Row],[Serviço]],Tabela4[],5,FALSE),"")</f>
        <v>1.98</v>
      </c>
      <c r="M29" s="22">
        <f>VLOOKUP(consArgamassa[[#This Row],[RecebID]],recebArgamassa[],14,FALSE)</f>
        <v>464.75</v>
      </c>
      <c r="N29" s="22">
        <f>IFERROR(VLOOKUP(consArgamassa[[#This Row],[Serviço]],Tabela4[],6,FALSE),"")</f>
        <v>500</v>
      </c>
      <c r="O29" s="1" t="s">
        <v>274</v>
      </c>
      <c r="P29" s="13">
        <v>36892</v>
      </c>
    </row>
    <row r="30" spans="1:16" x14ac:dyDescent="0.25">
      <c r="A30" s="1" t="s">
        <v>52</v>
      </c>
      <c r="B30" s="7" t="str">
        <f>CONCATENATE("CNSARG",TEXT(consArgamassa[[#This Row],[Ordem]],"00000"))</f>
        <v>CNSARG00028</v>
      </c>
      <c r="C30" s="7">
        <v>28</v>
      </c>
      <c r="D30" s="10">
        <f>VLOOKUP(consArgamassa[[#This Row],[RecebID]],recebArgamassa[[RecebID]:[Insumo]],3,FALSE)</f>
        <v>44909</v>
      </c>
      <c r="E30" s="7" t="str">
        <f>VLOOKUP(consArgamassa[[#This Row],[RecebID]],recebArgamassa[[RecebID]:[Insumo]],4,FALSE)</f>
        <v>Argamassa Estabilizada</v>
      </c>
      <c r="F30" s="1" t="s">
        <v>268</v>
      </c>
      <c r="G30" s="1" t="s">
        <v>270</v>
      </c>
      <c r="H30" s="1" t="s">
        <v>297</v>
      </c>
      <c r="I30" s="1" t="s">
        <v>10</v>
      </c>
      <c r="J30" s="1" t="s">
        <v>242</v>
      </c>
      <c r="K30" s="2">
        <v>1</v>
      </c>
      <c r="L30" s="23">
        <f>IFERROR(VLOOKUP(consArgamassa[[#This Row],[Serviço]],Tabela4[],5,FALSE),"")</f>
        <v>0</v>
      </c>
      <c r="M30" s="22">
        <f>VLOOKUP(consArgamassa[[#This Row],[RecebID]],recebArgamassa[],14,FALSE)</f>
        <v>464.75</v>
      </c>
      <c r="N30" s="22">
        <f>IFERROR(VLOOKUP(consArgamassa[[#This Row],[Serviço]],Tabela4[],6,FALSE),"")</f>
        <v>500</v>
      </c>
      <c r="O30" s="1" t="s">
        <v>274</v>
      </c>
      <c r="P30" s="13">
        <v>36892</v>
      </c>
    </row>
    <row r="31" spans="1:16" x14ac:dyDescent="0.25">
      <c r="A31" s="1" t="s">
        <v>53</v>
      </c>
      <c r="B31" s="7" t="str">
        <f>CONCATENATE("CNSARG",TEXT(consArgamassa[[#This Row],[Ordem]],"00000"))</f>
        <v>CNSARG00029</v>
      </c>
      <c r="C31" s="7">
        <v>29</v>
      </c>
      <c r="D31" s="10">
        <f>VLOOKUP(consArgamassa[[#This Row],[RecebID]],recebArgamassa[[RecebID]:[Insumo]],3,FALSE)</f>
        <v>44911</v>
      </c>
      <c r="E31" s="7" t="str">
        <f>VLOOKUP(consArgamassa[[#This Row],[RecebID]],recebArgamassa[[RecebID]:[Insumo]],4,FALSE)</f>
        <v>Argamassa Estabilizada</v>
      </c>
      <c r="F31" s="1" t="s">
        <v>264</v>
      </c>
      <c r="G31" s="1" t="s">
        <v>255</v>
      </c>
      <c r="H31" s="1">
        <v>8</v>
      </c>
      <c r="I31" s="1" t="s">
        <v>7</v>
      </c>
      <c r="K31" s="2">
        <v>4</v>
      </c>
      <c r="L31" s="23">
        <f>IFERROR(VLOOKUP(consArgamassa[[#This Row],[Serviço]],Tabela4[],5,FALSE),"")</f>
        <v>1.3352499999999998</v>
      </c>
      <c r="M31" s="22">
        <f>VLOOKUP(consArgamassa[[#This Row],[RecebID]],recebArgamassa[],14,FALSE)</f>
        <v>464.75</v>
      </c>
      <c r="N31" s="22">
        <f>IFERROR(VLOOKUP(consArgamassa[[#This Row],[Serviço]],Tabela4[],6,FALSE),"")</f>
        <v>500</v>
      </c>
      <c r="O31" s="1" t="s">
        <v>274</v>
      </c>
      <c r="P31" s="13">
        <v>36892</v>
      </c>
    </row>
    <row r="32" spans="1:16" x14ac:dyDescent="0.25">
      <c r="A32" s="1" t="s">
        <v>54</v>
      </c>
      <c r="B32" s="7" t="str">
        <f>CONCATENATE("CNSARG",TEXT(consArgamassa[[#This Row],[Ordem]],"00000"))</f>
        <v>CNSARG00030</v>
      </c>
      <c r="C32" s="7">
        <v>30</v>
      </c>
      <c r="D32" s="10">
        <f>VLOOKUP(consArgamassa[[#This Row],[RecebID]],recebArgamassa[[RecebID]:[Insumo]],3,FALSE)</f>
        <v>44911</v>
      </c>
      <c r="E32" s="7" t="str">
        <f>VLOOKUP(consArgamassa[[#This Row],[RecebID]],recebArgamassa[[RecebID]:[Insumo]],4,FALSE)</f>
        <v>Argamassa Estabilizada</v>
      </c>
      <c r="F32" s="1" t="s">
        <v>248</v>
      </c>
      <c r="G32" s="1" t="s">
        <v>270</v>
      </c>
      <c r="H32" s="1">
        <v>3</v>
      </c>
      <c r="I32" s="1" t="s">
        <v>238</v>
      </c>
      <c r="J32" s="1" t="s">
        <v>238</v>
      </c>
      <c r="K32" s="2">
        <v>1</v>
      </c>
      <c r="L32" s="23">
        <f>IFERROR(VLOOKUP(consArgamassa[[#This Row],[Serviço]],Tabela4[],5,FALSE),"")</f>
        <v>1.98</v>
      </c>
      <c r="M32" s="22">
        <f>VLOOKUP(consArgamassa[[#This Row],[RecebID]],recebArgamassa[],14,FALSE)</f>
        <v>464.75</v>
      </c>
      <c r="N32" s="22">
        <f>IFERROR(VLOOKUP(consArgamassa[[#This Row],[Serviço]],Tabela4[],6,FALSE),"")</f>
        <v>500</v>
      </c>
      <c r="O32" s="1" t="s">
        <v>274</v>
      </c>
      <c r="P32" s="13">
        <v>36892</v>
      </c>
    </row>
    <row r="33" spans="1:16" x14ac:dyDescent="0.25">
      <c r="A33" s="1" t="s">
        <v>55</v>
      </c>
      <c r="B33" s="7" t="str">
        <f>CONCATENATE("CNSARG",TEXT(consArgamassa[[#This Row],[Ordem]],"00000"))</f>
        <v>CNSARG00031</v>
      </c>
      <c r="C33" s="7">
        <v>31</v>
      </c>
      <c r="D33" s="10">
        <f>VLOOKUP(consArgamassa[[#This Row],[RecebID]],recebArgamassa[[RecebID]:[Insumo]],3,FALSE)</f>
        <v>44911</v>
      </c>
      <c r="E33" s="7" t="str">
        <f>VLOOKUP(consArgamassa[[#This Row],[RecebID]],recebArgamassa[[RecebID]:[Insumo]],4,FALSE)</f>
        <v>Argamassa Estabilizada</v>
      </c>
      <c r="F33" s="1" t="s">
        <v>268</v>
      </c>
      <c r="G33" s="1" t="s">
        <v>270</v>
      </c>
      <c r="H33" s="1" t="s">
        <v>297</v>
      </c>
      <c r="I33" s="1" t="s">
        <v>10</v>
      </c>
      <c r="J33" s="1" t="s">
        <v>242</v>
      </c>
      <c r="K33" s="2">
        <v>1</v>
      </c>
      <c r="L33" s="23">
        <f>IFERROR(VLOOKUP(consArgamassa[[#This Row],[Serviço]],Tabela4[],5,FALSE),"")</f>
        <v>0</v>
      </c>
      <c r="M33" s="22">
        <f>VLOOKUP(consArgamassa[[#This Row],[RecebID]],recebArgamassa[],14,FALSE)</f>
        <v>464.75</v>
      </c>
      <c r="N33" s="22">
        <f>IFERROR(VLOOKUP(consArgamassa[[#This Row],[Serviço]],Tabela4[],6,FALSE),"")</f>
        <v>500</v>
      </c>
      <c r="O33" s="1" t="s">
        <v>274</v>
      </c>
      <c r="P33" s="13">
        <v>36892</v>
      </c>
    </row>
    <row r="34" spans="1:16" x14ac:dyDescent="0.25">
      <c r="A34" s="1" t="s">
        <v>56</v>
      </c>
      <c r="B34" s="7" t="str">
        <f>CONCATENATE("CNSARG",TEXT(consArgamassa[[#This Row],[Ordem]],"00000"))</f>
        <v>CNSARG00032</v>
      </c>
      <c r="C34" s="7">
        <v>32</v>
      </c>
      <c r="D34" s="10">
        <f>VLOOKUP(consArgamassa[[#This Row],[RecebID]],recebArgamassa[[RecebID]:[Insumo]],3,FALSE)</f>
        <v>44912</v>
      </c>
      <c r="E34" s="7" t="str">
        <f>VLOOKUP(consArgamassa[[#This Row],[RecebID]],recebArgamassa[[RecebID]:[Insumo]],4,FALSE)</f>
        <v>Argamassa Estabilizada</v>
      </c>
      <c r="F34" s="1" t="s">
        <v>264</v>
      </c>
      <c r="G34" s="1" t="s">
        <v>255</v>
      </c>
      <c r="H34" s="1">
        <v>8</v>
      </c>
      <c r="I34" s="1" t="s">
        <v>10</v>
      </c>
      <c r="K34" s="2">
        <v>5</v>
      </c>
      <c r="L34" s="23">
        <f>IFERROR(VLOOKUP(consArgamassa[[#This Row],[Serviço]],Tabela4[],5,FALSE),"")</f>
        <v>1.3352499999999998</v>
      </c>
      <c r="M34" s="22">
        <f>VLOOKUP(consArgamassa[[#This Row],[RecebID]],recebArgamassa[],14,FALSE)</f>
        <v>464.75</v>
      </c>
      <c r="N34" s="22">
        <f>IFERROR(VLOOKUP(consArgamassa[[#This Row],[Serviço]],Tabela4[],6,FALSE),"")</f>
        <v>500</v>
      </c>
      <c r="O34" s="1" t="s">
        <v>274</v>
      </c>
      <c r="P34" s="13">
        <v>36892</v>
      </c>
    </row>
    <row r="35" spans="1:16" x14ac:dyDescent="0.25">
      <c r="A35" s="1" t="s">
        <v>57</v>
      </c>
      <c r="B35" s="7" t="str">
        <f>CONCATENATE("CNSARG",TEXT(consArgamassa[[#This Row],[Ordem]],"00000"))</f>
        <v>CNSARG00033</v>
      </c>
      <c r="C35" s="7">
        <v>33</v>
      </c>
      <c r="D35" s="10">
        <f>VLOOKUP(consArgamassa[[#This Row],[RecebID]],recebArgamassa[[RecebID]:[Insumo]],3,FALSE)</f>
        <v>44914</v>
      </c>
      <c r="E35" s="7" t="str">
        <f>VLOOKUP(consArgamassa[[#This Row],[RecebID]],recebArgamassa[[RecebID]:[Insumo]],4,FALSE)</f>
        <v>Argamassa Estabilizada</v>
      </c>
      <c r="F35" s="1" t="s">
        <v>264</v>
      </c>
      <c r="G35" s="1" t="s">
        <v>255</v>
      </c>
      <c r="H35" s="1">
        <v>8</v>
      </c>
      <c r="I35" s="1" t="s">
        <v>10</v>
      </c>
      <c r="K35" s="2">
        <v>4</v>
      </c>
      <c r="L35" s="23">
        <f>IFERROR(VLOOKUP(consArgamassa[[#This Row],[Serviço]],Tabela4[],5,FALSE),"")</f>
        <v>1.3352499999999998</v>
      </c>
      <c r="M35" s="22">
        <f>VLOOKUP(consArgamassa[[#This Row],[RecebID]],recebArgamassa[],14,FALSE)</f>
        <v>464.75</v>
      </c>
      <c r="N35" s="22">
        <f>IFERROR(VLOOKUP(consArgamassa[[#This Row],[Serviço]],Tabela4[],6,FALSE),"")</f>
        <v>500</v>
      </c>
      <c r="O35" s="1" t="s">
        <v>274</v>
      </c>
      <c r="P35" s="13">
        <v>36892</v>
      </c>
    </row>
    <row r="36" spans="1:16" x14ac:dyDescent="0.25">
      <c r="A36" s="1" t="s">
        <v>58</v>
      </c>
      <c r="B36" s="7" t="str">
        <f>CONCATENATE("CNSARG",TEXT(consArgamassa[[#This Row],[Ordem]],"00000"))</f>
        <v>CNSARG00034</v>
      </c>
      <c r="C36" s="7">
        <v>34</v>
      </c>
      <c r="D36" s="10">
        <f>VLOOKUP(consArgamassa[[#This Row],[RecebID]],recebArgamassa[[RecebID]:[Insumo]],3,FALSE)</f>
        <v>44914</v>
      </c>
      <c r="E36" s="7" t="str">
        <f>VLOOKUP(consArgamassa[[#This Row],[RecebID]],recebArgamassa[[RecebID]:[Insumo]],4,FALSE)</f>
        <v>Argamassa Estabilizada</v>
      </c>
      <c r="F36" s="1" t="s">
        <v>248</v>
      </c>
      <c r="G36" s="1" t="s">
        <v>270</v>
      </c>
      <c r="H36" s="1">
        <v>4</v>
      </c>
      <c r="I36" s="1" t="s">
        <v>238</v>
      </c>
      <c r="J36" s="1" t="s">
        <v>238</v>
      </c>
      <c r="K36" s="2">
        <v>2</v>
      </c>
      <c r="L36" s="23">
        <f>IFERROR(VLOOKUP(consArgamassa[[#This Row],[Serviço]],Tabela4[],5,FALSE),"")</f>
        <v>1.98</v>
      </c>
      <c r="M36" s="22">
        <f>VLOOKUP(consArgamassa[[#This Row],[RecebID]],recebArgamassa[],14,FALSE)</f>
        <v>464.75</v>
      </c>
      <c r="N36" s="22">
        <f>IFERROR(VLOOKUP(consArgamassa[[#This Row],[Serviço]],Tabela4[],6,FALSE),"")</f>
        <v>500</v>
      </c>
      <c r="O36" s="1" t="s">
        <v>274</v>
      </c>
      <c r="P36" s="13">
        <v>36892</v>
      </c>
    </row>
    <row r="37" spans="1:16" x14ac:dyDescent="0.25">
      <c r="A37" s="1" t="s">
        <v>59</v>
      </c>
      <c r="B37" s="7" t="str">
        <f>CONCATENATE("CNSARG",TEXT(consArgamassa[[#This Row],[Ordem]],"00000"))</f>
        <v>CNSARG00035</v>
      </c>
      <c r="C37" s="7">
        <v>35</v>
      </c>
      <c r="D37" s="10">
        <f>VLOOKUP(consArgamassa[[#This Row],[RecebID]],recebArgamassa[[RecebID]:[Insumo]],3,FALSE)</f>
        <v>44914</v>
      </c>
      <c r="E37" s="7" t="str">
        <f>VLOOKUP(consArgamassa[[#This Row],[RecebID]],recebArgamassa[[RecebID]:[Insumo]],4,FALSE)</f>
        <v>Argamassa Estabilizada</v>
      </c>
      <c r="F37" s="1" t="s">
        <v>268</v>
      </c>
      <c r="G37" s="1" t="s">
        <v>270</v>
      </c>
      <c r="H37" s="1" t="s">
        <v>297</v>
      </c>
      <c r="I37" s="1" t="s">
        <v>10</v>
      </c>
      <c r="J37" s="1" t="s">
        <v>242</v>
      </c>
      <c r="K37" s="2">
        <v>1</v>
      </c>
      <c r="L37" s="23">
        <f>IFERROR(VLOOKUP(consArgamassa[[#This Row],[Serviço]],Tabela4[],5,FALSE),"")</f>
        <v>0</v>
      </c>
      <c r="M37" s="22">
        <f>VLOOKUP(consArgamassa[[#This Row],[RecebID]],recebArgamassa[],14,FALSE)</f>
        <v>464.75</v>
      </c>
      <c r="N37" s="22">
        <f>IFERROR(VLOOKUP(consArgamassa[[#This Row],[Serviço]],Tabela4[],6,FALSE),"")</f>
        <v>500</v>
      </c>
      <c r="O37" s="1" t="s">
        <v>274</v>
      </c>
      <c r="P37" s="13">
        <v>36892</v>
      </c>
    </row>
    <row r="38" spans="1:16" x14ac:dyDescent="0.25">
      <c r="A38" s="1" t="s">
        <v>60</v>
      </c>
      <c r="B38" s="7" t="str">
        <f>CONCATENATE("CNSARG",TEXT(consArgamassa[[#This Row],[Ordem]],"00000"))</f>
        <v>CNSARG00036</v>
      </c>
      <c r="C38" s="7">
        <v>36</v>
      </c>
      <c r="D38" s="10">
        <f>VLOOKUP(consArgamassa[[#This Row],[RecebID]],recebArgamassa[[RecebID]:[Insumo]],3,FALSE)</f>
        <v>44915</v>
      </c>
      <c r="E38" s="7" t="str">
        <f>VLOOKUP(consArgamassa[[#This Row],[RecebID]],recebArgamassa[[RecebID]:[Insumo]],4,FALSE)</f>
        <v>Argamassa Estabilizada</v>
      </c>
      <c r="F38" s="1" t="s">
        <v>264</v>
      </c>
      <c r="G38" s="1" t="s">
        <v>256</v>
      </c>
      <c r="H38" s="1">
        <v>8</v>
      </c>
      <c r="I38" s="1" t="s">
        <v>9</v>
      </c>
      <c r="K38" s="2">
        <v>3</v>
      </c>
      <c r="L38" s="23">
        <f>IFERROR(VLOOKUP(consArgamassa[[#This Row],[Serviço]],Tabela4[],5,FALSE),"")</f>
        <v>1.3352499999999998</v>
      </c>
      <c r="M38" s="22">
        <f>VLOOKUP(consArgamassa[[#This Row],[RecebID]],recebArgamassa[],14,FALSE)</f>
        <v>464.75</v>
      </c>
      <c r="N38" s="22">
        <f>IFERROR(VLOOKUP(consArgamassa[[#This Row],[Serviço]],Tabela4[],6,FALSE),"")</f>
        <v>500</v>
      </c>
      <c r="O38" s="1" t="s">
        <v>274</v>
      </c>
      <c r="P38" s="13">
        <v>36892</v>
      </c>
    </row>
    <row r="39" spans="1:16" x14ac:dyDescent="0.25">
      <c r="A39" s="1" t="s">
        <v>61</v>
      </c>
      <c r="B39" s="7" t="str">
        <f>CONCATENATE("CNSARG",TEXT(consArgamassa[[#This Row],[Ordem]],"00000"))</f>
        <v>CNSARG00037</v>
      </c>
      <c r="C39" s="7">
        <v>37</v>
      </c>
      <c r="D39" s="10">
        <f>VLOOKUP(consArgamassa[[#This Row],[RecebID]],recebArgamassa[[RecebID]:[Insumo]],3,FALSE)</f>
        <v>44915</v>
      </c>
      <c r="E39" s="7" t="str">
        <f>VLOOKUP(consArgamassa[[#This Row],[RecebID]],recebArgamassa[[RecebID]:[Insumo]],4,FALSE)</f>
        <v>Argamassa Estabilizada</v>
      </c>
      <c r="F39" s="1" t="s">
        <v>268</v>
      </c>
      <c r="G39" s="1" t="s">
        <v>270</v>
      </c>
      <c r="H39" s="1" t="s">
        <v>297</v>
      </c>
      <c r="I39" s="1" t="s">
        <v>10</v>
      </c>
      <c r="J39" s="1" t="s">
        <v>242</v>
      </c>
      <c r="K39" s="2">
        <v>2</v>
      </c>
      <c r="L39" s="23">
        <f>IFERROR(VLOOKUP(consArgamassa[[#This Row],[Serviço]],Tabela4[],5,FALSE),"")</f>
        <v>0</v>
      </c>
      <c r="M39" s="22">
        <f>VLOOKUP(consArgamassa[[#This Row],[RecebID]],recebArgamassa[],14,FALSE)</f>
        <v>464.75</v>
      </c>
      <c r="N39" s="22">
        <f>IFERROR(VLOOKUP(consArgamassa[[#This Row],[Serviço]],Tabela4[],6,FALSE),"")</f>
        <v>500</v>
      </c>
      <c r="O39" s="1" t="s">
        <v>274</v>
      </c>
      <c r="P39" s="13">
        <v>36892</v>
      </c>
    </row>
    <row r="40" spans="1:16" x14ac:dyDescent="0.25">
      <c r="A40" s="1" t="s">
        <v>62</v>
      </c>
      <c r="B40" s="7" t="str">
        <f>CONCATENATE("CNSARG",TEXT(consArgamassa[[#This Row],[Ordem]],"00000"))</f>
        <v>CNSARG00038</v>
      </c>
      <c r="C40" s="7">
        <v>38</v>
      </c>
      <c r="D40" s="10">
        <f>VLOOKUP(consArgamassa[[#This Row],[RecebID]],recebArgamassa[[RecebID]:[Insumo]],3,FALSE)</f>
        <v>44916</v>
      </c>
      <c r="E40" s="7" t="str">
        <f>VLOOKUP(consArgamassa[[#This Row],[RecebID]],recebArgamassa[[RecebID]:[Insumo]],4,FALSE)</f>
        <v>Argamassa Estabilizada</v>
      </c>
      <c r="F40" s="1" t="s">
        <v>264</v>
      </c>
      <c r="G40" s="1" t="s">
        <v>256</v>
      </c>
      <c r="H40" s="1">
        <v>8</v>
      </c>
      <c r="I40" s="1" t="s">
        <v>9</v>
      </c>
      <c r="K40" s="2">
        <v>4</v>
      </c>
      <c r="L40" s="23">
        <f>IFERROR(VLOOKUP(consArgamassa[[#This Row],[Serviço]],Tabela4[],5,FALSE),"")</f>
        <v>1.3352499999999998</v>
      </c>
      <c r="M40" s="22">
        <f>VLOOKUP(consArgamassa[[#This Row],[RecebID]],recebArgamassa[],14,FALSE)</f>
        <v>464.75</v>
      </c>
      <c r="N40" s="22">
        <f>IFERROR(VLOOKUP(consArgamassa[[#This Row],[Serviço]],Tabela4[],6,FALSE),"")</f>
        <v>500</v>
      </c>
      <c r="O40" s="1" t="s">
        <v>274</v>
      </c>
      <c r="P40" s="13">
        <v>36892</v>
      </c>
    </row>
    <row r="41" spans="1:16" x14ac:dyDescent="0.25">
      <c r="A41" s="1" t="s">
        <v>63</v>
      </c>
      <c r="B41" s="7" t="str">
        <f>CONCATENATE("CNSARG",TEXT(consArgamassa[[#This Row],[Ordem]],"00000"))</f>
        <v>CNSARG00039</v>
      </c>
      <c r="C41" s="7">
        <v>39</v>
      </c>
      <c r="D41" s="10">
        <f>VLOOKUP(consArgamassa[[#This Row],[RecebID]],recebArgamassa[[RecebID]:[Insumo]],3,FALSE)</f>
        <v>44916</v>
      </c>
      <c r="E41" s="7" t="str">
        <f>VLOOKUP(consArgamassa[[#This Row],[RecebID]],recebArgamassa[[RecebID]:[Insumo]],4,FALSE)</f>
        <v>Argamassa Estabilizada</v>
      </c>
      <c r="F41" s="1" t="s">
        <v>251</v>
      </c>
      <c r="G41" s="1" t="s">
        <v>270</v>
      </c>
      <c r="H41" s="1" t="s">
        <v>297</v>
      </c>
      <c r="I41" s="1" t="s">
        <v>10</v>
      </c>
      <c r="J41" s="1" t="s">
        <v>241</v>
      </c>
      <c r="K41" s="2">
        <v>1</v>
      </c>
      <c r="L41" s="23">
        <f>IFERROR(VLOOKUP(consArgamassa[[#This Row],[Serviço]],Tabela4[],5,FALSE),"")</f>
        <v>0</v>
      </c>
      <c r="M41" s="22">
        <f>VLOOKUP(consArgamassa[[#This Row],[RecebID]],recebArgamassa[],14,FALSE)</f>
        <v>464.75</v>
      </c>
      <c r="N41" s="22">
        <f>IFERROR(VLOOKUP(consArgamassa[[#This Row],[Serviço]],Tabela4[],6,FALSE),"")</f>
        <v>500</v>
      </c>
      <c r="O41" s="1" t="s">
        <v>274</v>
      </c>
      <c r="P41" s="13">
        <v>36892</v>
      </c>
    </row>
    <row r="42" spans="1:16" x14ac:dyDescent="0.25">
      <c r="A42" s="1" t="s">
        <v>64</v>
      </c>
      <c r="B42" s="7" t="str">
        <f>CONCATENATE("CNSARG",TEXT(consArgamassa[[#This Row],[Ordem]],"00000"))</f>
        <v>CNSARG00040</v>
      </c>
      <c r="C42" s="7">
        <v>40</v>
      </c>
      <c r="D42" s="10">
        <f>VLOOKUP(consArgamassa[[#This Row],[RecebID]],recebArgamassa[[RecebID]:[Insumo]],3,FALSE)</f>
        <v>44916</v>
      </c>
      <c r="E42" s="7" t="str">
        <f>VLOOKUP(consArgamassa[[#This Row],[RecebID]],recebArgamassa[[RecebID]:[Insumo]],4,FALSE)</f>
        <v>Argamassa Estabilizada</v>
      </c>
      <c r="F42" s="1" t="s">
        <v>251</v>
      </c>
      <c r="G42" s="1" t="s">
        <v>270</v>
      </c>
      <c r="H42" s="1" t="s">
        <v>297</v>
      </c>
      <c r="I42" s="1" t="s">
        <v>10</v>
      </c>
      <c r="J42" s="1" t="s">
        <v>241</v>
      </c>
      <c r="K42" s="2">
        <v>1</v>
      </c>
      <c r="L42" s="23">
        <f>IFERROR(VLOOKUP(consArgamassa[[#This Row],[Serviço]],Tabela4[],5,FALSE),"")</f>
        <v>0</v>
      </c>
      <c r="M42" s="22">
        <f>VLOOKUP(consArgamassa[[#This Row],[RecebID]],recebArgamassa[],14,FALSE)</f>
        <v>464.75</v>
      </c>
      <c r="N42" s="22">
        <f>IFERROR(VLOOKUP(consArgamassa[[#This Row],[Serviço]],Tabela4[],6,FALSE),"")</f>
        <v>500</v>
      </c>
      <c r="O42" s="1" t="s">
        <v>274</v>
      </c>
      <c r="P42" s="13">
        <v>36892</v>
      </c>
    </row>
    <row r="43" spans="1:16" x14ac:dyDescent="0.25">
      <c r="A43" s="1" t="s">
        <v>65</v>
      </c>
      <c r="B43" s="7" t="str">
        <f>CONCATENATE("CNSARG",TEXT(consArgamassa[[#This Row],[Ordem]],"00000"))</f>
        <v>CNSARG00041</v>
      </c>
      <c r="C43" s="7">
        <v>41</v>
      </c>
      <c r="D43" s="10">
        <f>VLOOKUP(consArgamassa[[#This Row],[RecebID]],recebArgamassa[[RecebID]:[Insumo]],3,FALSE)</f>
        <v>44917</v>
      </c>
      <c r="E43" s="7" t="str">
        <f>VLOOKUP(consArgamassa[[#This Row],[RecebID]],recebArgamassa[[RecebID]:[Insumo]],4,FALSE)</f>
        <v>Argamassa Estabilizada</v>
      </c>
      <c r="F43" s="1" t="s">
        <v>264</v>
      </c>
      <c r="G43" s="1" t="s">
        <v>256</v>
      </c>
      <c r="H43" s="1">
        <v>8</v>
      </c>
      <c r="I43" s="1" t="s">
        <v>9</v>
      </c>
      <c r="K43" s="2">
        <v>3</v>
      </c>
      <c r="L43" s="23">
        <f>IFERROR(VLOOKUP(consArgamassa[[#This Row],[Serviço]],Tabela4[],5,FALSE),"")</f>
        <v>1.3352499999999998</v>
      </c>
      <c r="M43" s="22">
        <f>VLOOKUP(consArgamassa[[#This Row],[RecebID]],recebArgamassa[],14,FALSE)</f>
        <v>464.75</v>
      </c>
      <c r="N43" s="22">
        <f>IFERROR(VLOOKUP(consArgamassa[[#This Row],[Serviço]],Tabela4[],6,FALSE),"")</f>
        <v>500</v>
      </c>
      <c r="O43" s="1" t="s">
        <v>274</v>
      </c>
      <c r="P43" s="13">
        <v>36892</v>
      </c>
    </row>
    <row r="44" spans="1:16" x14ac:dyDescent="0.25">
      <c r="A44" s="1" t="s">
        <v>66</v>
      </c>
      <c r="B44" s="7" t="str">
        <f>CONCATENATE("CNSARG",TEXT(consArgamassa[[#This Row],[Ordem]],"00000"))</f>
        <v>CNSARG00042</v>
      </c>
      <c r="C44" s="7">
        <v>42</v>
      </c>
      <c r="D44" s="10">
        <f>VLOOKUP(consArgamassa[[#This Row],[RecebID]],recebArgamassa[[RecebID]:[Insumo]],3,FALSE)</f>
        <v>44917</v>
      </c>
      <c r="E44" s="7" t="str">
        <f>VLOOKUP(consArgamassa[[#This Row],[RecebID]],recebArgamassa[[RecebID]:[Insumo]],4,FALSE)</f>
        <v>Argamassa Estabilizada</v>
      </c>
      <c r="F44" s="1" t="s">
        <v>276</v>
      </c>
      <c r="G44" s="1" t="s">
        <v>270</v>
      </c>
      <c r="H44" s="1" t="s">
        <v>296</v>
      </c>
      <c r="I44" s="1" t="s">
        <v>10</v>
      </c>
      <c r="J44" s="1" t="s">
        <v>240</v>
      </c>
      <c r="K44" s="2">
        <v>2</v>
      </c>
      <c r="L44" s="23">
        <f>IFERROR(VLOOKUP(consArgamassa[[#This Row],[Serviço]],Tabela4[],5,FALSE),"")</f>
        <v>0.81818181818181823</v>
      </c>
      <c r="M44" s="22">
        <f>VLOOKUP(consArgamassa[[#This Row],[RecebID]],recebArgamassa[],14,FALSE)</f>
        <v>464.75</v>
      </c>
      <c r="N44" s="22">
        <f>IFERROR(VLOOKUP(consArgamassa[[#This Row],[Serviço]],Tabela4[],6,FALSE),"")</f>
        <v>500</v>
      </c>
      <c r="O44" s="1" t="s">
        <v>274</v>
      </c>
      <c r="P44" s="13">
        <v>36892</v>
      </c>
    </row>
    <row r="45" spans="1:16" x14ac:dyDescent="0.25">
      <c r="A45" s="1" t="s">
        <v>67</v>
      </c>
      <c r="B45" s="7" t="str">
        <f>CONCATENATE("CNSARG",TEXT(consArgamassa[[#This Row],[Ordem]],"00000"))</f>
        <v>CNSARG00043</v>
      </c>
      <c r="C45" s="7">
        <v>43</v>
      </c>
      <c r="D45" s="10">
        <f>VLOOKUP(consArgamassa[[#This Row],[RecebID]],recebArgamassa[[RecebID]:[Insumo]],3,FALSE)</f>
        <v>44922</v>
      </c>
      <c r="E45" s="7" t="str">
        <f>VLOOKUP(consArgamassa[[#This Row],[RecebID]],recebArgamassa[[RecebID]:[Insumo]],4,FALSE)</f>
        <v>Argamassa Estabilizada</v>
      </c>
      <c r="F45" s="1" t="s">
        <v>264</v>
      </c>
      <c r="G45" s="1" t="s">
        <v>256</v>
      </c>
      <c r="H45" s="1">
        <v>8</v>
      </c>
      <c r="I45" s="1" t="s">
        <v>8</v>
      </c>
      <c r="K45" s="2">
        <v>5</v>
      </c>
      <c r="L45" s="23">
        <f>IFERROR(VLOOKUP(consArgamassa[[#This Row],[Serviço]],Tabela4[],5,FALSE),"")</f>
        <v>1.3352499999999998</v>
      </c>
      <c r="M45" s="22">
        <f>VLOOKUP(consArgamassa[[#This Row],[RecebID]],recebArgamassa[],14,FALSE)</f>
        <v>464.75</v>
      </c>
      <c r="N45" s="22">
        <f>IFERROR(VLOOKUP(consArgamassa[[#This Row],[Serviço]],Tabela4[],6,FALSE),"")</f>
        <v>500</v>
      </c>
      <c r="O45" s="1" t="s">
        <v>274</v>
      </c>
      <c r="P45" s="13">
        <v>36892</v>
      </c>
    </row>
    <row r="46" spans="1:16" x14ac:dyDescent="0.25">
      <c r="A46" s="1" t="s">
        <v>68</v>
      </c>
      <c r="B46" s="7" t="str">
        <f>CONCATENATE("CNSARG",TEXT(consArgamassa[[#This Row],[Ordem]],"00000"))</f>
        <v>CNSARG00044</v>
      </c>
      <c r="C46" s="7">
        <v>44</v>
      </c>
      <c r="D46" s="10">
        <f>VLOOKUP(consArgamassa[[#This Row],[RecebID]],recebArgamassa[[RecebID]:[Insumo]],3,FALSE)</f>
        <v>44923</v>
      </c>
      <c r="E46" s="7" t="str">
        <f>VLOOKUP(consArgamassa[[#This Row],[RecebID]],recebArgamassa[[RecebID]:[Insumo]],4,FALSE)</f>
        <v>Argamassa Estabilizada</v>
      </c>
      <c r="F46" s="1" t="s">
        <v>268</v>
      </c>
      <c r="G46" s="1" t="s">
        <v>270</v>
      </c>
      <c r="H46" s="1" t="s">
        <v>297</v>
      </c>
      <c r="I46" s="1" t="s">
        <v>10</v>
      </c>
      <c r="J46" s="1" t="s">
        <v>242</v>
      </c>
      <c r="K46" s="2">
        <v>1</v>
      </c>
      <c r="L46" s="23">
        <f>IFERROR(VLOOKUP(consArgamassa[[#This Row],[Serviço]],Tabela4[],5,FALSE),"")</f>
        <v>0</v>
      </c>
      <c r="M46" s="22">
        <f>VLOOKUP(consArgamassa[[#This Row],[RecebID]],recebArgamassa[],14,FALSE)</f>
        <v>464.75</v>
      </c>
      <c r="N46" s="22">
        <f>IFERROR(VLOOKUP(consArgamassa[[#This Row],[Serviço]],Tabela4[],6,FALSE),"")</f>
        <v>500</v>
      </c>
      <c r="O46" s="1" t="s">
        <v>274</v>
      </c>
      <c r="P46" s="13">
        <v>36892</v>
      </c>
    </row>
    <row r="47" spans="1:16" x14ac:dyDescent="0.25">
      <c r="A47" s="1" t="s">
        <v>69</v>
      </c>
      <c r="B47" s="7" t="str">
        <f>CONCATENATE("CNSARG",TEXT(consArgamassa[[#This Row],[Ordem]],"00000"))</f>
        <v>CNSARG00045</v>
      </c>
      <c r="C47" s="7">
        <v>45</v>
      </c>
      <c r="D47" s="10">
        <f>VLOOKUP(consArgamassa[[#This Row],[RecebID]],recebArgamassa[[RecebID]:[Insumo]],3,FALSE)</f>
        <v>44923</v>
      </c>
      <c r="E47" s="7" t="str">
        <f>VLOOKUP(consArgamassa[[#This Row],[RecebID]],recebArgamassa[[RecebID]:[Insumo]],4,FALSE)</f>
        <v>Argamassa Estabilizada</v>
      </c>
      <c r="F47" s="1" t="s">
        <v>249</v>
      </c>
      <c r="G47" s="1" t="s">
        <v>270</v>
      </c>
      <c r="H47" s="1" t="s">
        <v>297</v>
      </c>
      <c r="I47" s="1" t="s">
        <v>10</v>
      </c>
      <c r="J47" s="1" t="s">
        <v>23</v>
      </c>
      <c r="K47" s="2">
        <v>1</v>
      </c>
      <c r="L47" s="23">
        <f>IFERROR(VLOOKUP(consArgamassa[[#This Row],[Serviço]],Tabela4[],5,FALSE),"")</f>
        <v>0.125</v>
      </c>
      <c r="M47" s="22">
        <f>VLOOKUP(consArgamassa[[#This Row],[RecebID]],recebArgamassa[],14,FALSE)</f>
        <v>464.75</v>
      </c>
      <c r="N47" s="22">
        <f>IFERROR(VLOOKUP(consArgamassa[[#This Row],[Serviço]],Tabela4[],6,FALSE),"")</f>
        <v>500</v>
      </c>
      <c r="O47" s="1" t="s">
        <v>274</v>
      </c>
      <c r="P47" s="13">
        <v>36892</v>
      </c>
    </row>
    <row r="48" spans="1:16" x14ac:dyDescent="0.25">
      <c r="A48" s="1" t="s">
        <v>70</v>
      </c>
      <c r="B48" s="7" t="str">
        <f>CONCATENATE("CNSARG",TEXT(consArgamassa[[#This Row],[Ordem]],"00000"))</f>
        <v>CNSARG00046</v>
      </c>
      <c r="C48" s="7">
        <v>46</v>
      </c>
      <c r="D48" s="10">
        <f>VLOOKUP(consArgamassa[[#This Row],[RecebID]],recebArgamassa[[RecebID]:[Insumo]],3,FALSE)</f>
        <v>44923</v>
      </c>
      <c r="E48" s="7" t="str">
        <f>VLOOKUP(consArgamassa[[#This Row],[RecebID]],recebArgamassa[[RecebID]:[Insumo]],4,FALSE)</f>
        <v>Argamassa Estabilizada</v>
      </c>
      <c r="F48" s="1" t="s">
        <v>264</v>
      </c>
      <c r="G48" s="1" t="s">
        <v>256</v>
      </c>
      <c r="H48" s="1">
        <v>4</v>
      </c>
      <c r="I48" s="1" t="s">
        <v>9</v>
      </c>
      <c r="K48" s="2">
        <v>5</v>
      </c>
      <c r="L48" s="23">
        <f>IFERROR(VLOOKUP(consArgamassa[[#This Row],[Serviço]],Tabela4[],5,FALSE),"")</f>
        <v>1.3352499999999998</v>
      </c>
      <c r="M48" s="22">
        <f>VLOOKUP(consArgamassa[[#This Row],[RecebID]],recebArgamassa[],14,FALSE)</f>
        <v>464.75</v>
      </c>
      <c r="N48" s="22">
        <f>IFERROR(VLOOKUP(consArgamassa[[#This Row],[Serviço]],Tabela4[],6,FALSE),"")</f>
        <v>500</v>
      </c>
      <c r="O48" s="1" t="s">
        <v>274</v>
      </c>
      <c r="P48" s="13">
        <v>36892</v>
      </c>
    </row>
    <row r="49" spans="1:16" x14ac:dyDescent="0.25">
      <c r="A49" s="1" t="s">
        <v>71</v>
      </c>
      <c r="B49" s="7" t="str">
        <f>CONCATENATE("CNSARG",TEXT(consArgamassa[[#This Row],[Ordem]],"00000"))</f>
        <v>CNSARG00047</v>
      </c>
      <c r="C49" s="7">
        <v>47</v>
      </c>
      <c r="D49" s="10">
        <f>VLOOKUP(consArgamassa[[#This Row],[RecebID]],recebArgamassa[[RecebID]:[Insumo]],3,FALSE)</f>
        <v>44924</v>
      </c>
      <c r="E49" s="7" t="str">
        <f>VLOOKUP(consArgamassa[[#This Row],[RecebID]],recebArgamassa[[RecebID]:[Insumo]],4,FALSE)</f>
        <v>Argamassa Estabilizada</v>
      </c>
      <c r="F49" s="1" t="s">
        <v>268</v>
      </c>
      <c r="G49" s="1" t="s">
        <v>270</v>
      </c>
      <c r="H49" s="1" t="s">
        <v>297</v>
      </c>
      <c r="I49" s="1" t="s">
        <v>10</v>
      </c>
      <c r="J49" s="1" t="s">
        <v>242</v>
      </c>
      <c r="K49" s="2">
        <v>2</v>
      </c>
      <c r="L49" s="23">
        <f>IFERROR(VLOOKUP(consArgamassa[[#This Row],[Serviço]],Tabela4[],5,FALSE),"")</f>
        <v>0</v>
      </c>
      <c r="M49" s="22">
        <f>VLOOKUP(consArgamassa[[#This Row],[RecebID]],recebArgamassa[],14,FALSE)</f>
        <v>464.75</v>
      </c>
      <c r="N49" s="22">
        <f>IFERROR(VLOOKUP(consArgamassa[[#This Row],[Serviço]],Tabela4[],6,FALSE),"")</f>
        <v>500</v>
      </c>
      <c r="O49" s="1" t="s">
        <v>274</v>
      </c>
      <c r="P49" s="13">
        <v>36892</v>
      </c>
    </row>
    <row r="50" spans="1:16" x14ac:dyDescent="0.25">
      <c r="A50" s="1" t="s">
        <v>72</v>
      </c>
      <c r="B50" s="7" t="str">
        <f>CONCATENATE("CNSARG",TEXT(consArgamassa[[#This Row],[Ordem]],"00000"))</f>
        <v>CNSARG00048</v>
      </c>
      <c r="C50" s="7">
        <v>48</v>
      </c>
      <c r="D50" s="10">
        <f>VLOOKUP(consArgamassa[[#This Row],[RecebID]],recebArgamassa[[RecebID]:[Insumo]],3,FALSE)</f>
        <v>44924</v>
      </c>
      <c r="E50" s="7" t="str">
        <f>VLOOKUP(consArgamassa[[#This Row],[RecebID]],recebArgamassa[[RecebID]:[Insumo]],4,FALSE)</f>
        <v>Argamassa Estabilizada</v>
      </c>
      <c r="F50" s="1" t="s">
        <v>264</v>
      </c>
      <c r="G50" s="1" t="s">
        <v>256</v>
      </c>
      <c r="H50" s="1">
        <v>4</v>
      </c>
      <c r="I50" s="1" t="s">
        <v>9</v>
      </c>
      <c r="K50" s="2">
        <v>2</v>
      </c>
      <c r="L50" s="23">
        <f>IFERROR(VLOOKUP(consArgamassa[[#This Row],[Serviço]],Tabela4[],5,FALSE),"")</f>
        <v>1.3352499999999998</v>
      </c>
      <c r="M50" s="22">
        <f>VLOOKUP(consArgamassa[[#This Row],[RecebID]],recebArgamassa[],14,FALSE)</f>
        <v>464.75</v>
      </c>
      <c r="N50" s="22">
        <f>IFERROR(VLOOKUP(consArgamassa[[#This Row],[Serviço]],Tabela4[],6,FALSE),"")</f>
        <v>500</v>
      </c>
      <c r="O50" s="1" t="s">
        <v>274</v>
      </c>
      <c r="P50" s="13">
        <v>36892</v>
      </c>
    </row>
    <row r="51" spans="1:16" x14ac:dyDescent="0.25">
      <c r="A51" s="1" t="s">
        <v>73</v>
      </c>
      <c r="B51" s="7" t="str">
        <f>CONCATENATE("CNSARG",TEXT(consArgamassa[[#This Row],[Ordem]],"00000"))</f>
        <v>CNSARG00049</v>
      </c>
      <c r="C51" s="7">
        <v>49</v>
      </c>
      <c r="D51" s="10">
        <f>VLOOKUP(consArgamassa[[#This Row],[RecebID]],recebArgamassa[[RecebID]:[Insumo]],3,FALSE)</f>
        <v>44924</v>
      </c>
      <c r="E51" s="7" t="str">
        <f>VLOOKUP(consArgamassa[[#This Row],[RecebID]],recebArgamassa[[RecebID]:[Insumo]],4,FALSE)</f>
        <v>Argamassa Estabilizada</v>
      </c>
      <c r="F51" s="1" t="s">
        <v>264</v>
      </c>
      <c r="G51" s="1" t="s">
        <v>256</v>
      </c>
      <c r="H51" s="1">
        <v>8</v>
      </c>
      <c r="I51" s="1" t="s">
        <v>8</v>
      </c>
      <c r="K51" s="2">
        <v>2</v>
      </c>
      <c r="L51" s="23">
        <f>IFERROR(VLOOKUP(consArgamassa[[#This Row],[Serviço]],Tabela4[],5,FALSE),"")</f>
        <v>1.3352499999999998</v>
      </c>
      <c r="M51" s="22">
        <f>VLOOKUP(consArgamassa[[#This Row],[RecebID]],recebArgamassa[],14,FALSE)</f>
        <v>464.75</v>
      </c>
      <c r="N51" s="22">
        <f>IFERROR(VLOOKUP(consArgamassa[[#This Row],[Serviço]],Tabela4[],6,FALSE),"")</f>
        <v>500</v>
      </c>
      <c r="O51" s="1" t="s">
        <v>274</v>
      </c>
      <c r="P51" s="13">
        <v>36892</v>
      </c>
    </row>
    <row r="52" spans="1:16" x14ac:dyDescent="0.25">
      <c r="A52" s="1" t="s">
        <v>74</v>
      </c>
      <c r="B52" s="7" t="str">
        <f>CONCATENATE("CNSARG",TEXT(consArgamassa[[#This Row],[Ordem]],"00000"))</f>
        <v>CNSARG00050</v>
      </c>
      <c r="C52" s="7">
        <v>50</v>
      </c>
      <c r="D52" s="10">
        <f>VLOOKUP(consArgamassa[[#This Row],[RecebID]],recebArgamassa[[RecebID]:[Insumo]],3,FALSE)</f>
        <v>44925</v>
      </c>
      <c r="E52" s="7" t="str">
        <f>VLOOKUP(consArgamassa[[#This Row],[RecebID]],recebArgamassa[[RecebID]:[Insumo]],4,FALSE)</f>
        <v>Argamassa Estabilizada</v>
      </c>
      <c r="F52" s="1" t="s">
        <v>264</v>
      </c>
      <c r="G52" s="1" t="s">
        <v>256</v>
      </c>
      <c r="H52" s="1">
        <v>8</v>
      </c>
      <c r="I52" s="1" t="s">
        <v>7</v>
      </c>
      <c r="K52" s="2">
        <v>3</v>
      </c>
      <c r="L52" s="23">
        <f>IFERROR(VLOOKUP(consArgamassa[[#This Row],[Serviço]],Tabela4[],5,FALSE),"")</f>
        <v>1.3352499999999998</v>
      </c>
      <c r="M52" s="22">
        <f>VLOOKUP(consArgamassa[[#This Row],[RecebID]],recebArgamassa[],14,FALSE)</f>
        <v>464.75</v>
      </c>
      <c r="N52" s="22">
        <f>IFERROR(VLOOKUP(consArgamassa[[#This Row],[Serviço]],Tabela4[],6,FALSE),"")</f>
        <v>500</v>
      </c>
      <c r="O52" s="1" t="s">
        <v>274</v>
      </c>
      <c r="P52" s="13">
        <v>36892</v>
      </c>
    </row>
    <row r="53" spans="1:16" x14ac:dyDescent="0.25">
      <c r="A53" s="1" t="s">
        <v>75</v>
      </c>
      <c r="B53" s="7" t="str">
        <f>CONCATENATE("CNSARG",TEXT(consArgamassa[[#This Row],[Ordem]],"00000"))</f>
        <v>CNSARG00051</v>
      </c>
      <c r="C53" s="7">
        <v>51</v>
      </c>
      <c r="D53" s="10">
        <f>VLOOKUP(consArgamassa[[#This Row],[RecebID]],recebArgamassa[[RecebID]:[Insumo]],3,FALSE)</f>
        <v>44925</v>
      </c>
      <c r="E53" s="7" t="str">
        <f>VLOOKUP(consArgamassa[[#This Row],[RecebID]],recebArgamassa[[RecebID]:[Insumo]],4,FALSE)</f>
        <v>Argamassa Estabilizada</v>
      </c>
      <c r="F53" s="1" t="s">
        <v>249</v>
      </c>
      <c r="G53" s="1" t="s">
        <v>270</v>
      </c>
      <c r="H53" s="1" t="s">
        <v>297</v>
      </c>
      <c r="I53" s="1" t="s">
        <v>10</v>
      </c>
      <c r="J53" s="1" t="s">
        <v>23</v>
      </c>
      <c r="K53" s="2">
        <v>1</v>
      </c>
      <c r="L53" s="23">
        <f>IFERROR(VLOOKUP(consArgamassa[[#This Row],[Serviço]],Tabela4[],5,FALSE),"")</f>
        <v>0.125</v>
      </c>
      <c r="M53" s="22">
        <f>VLOOKUP(consArgamassa[[#This Row],[RecebID]],recebArgamassa[],14,FALSE)</f>
        <v>464.75</v>
      </c>
      <c r="N53" s="22">
        <f>IFERROR(VLOOKUP(consArgamassa[[#This Row],[Serviço]],Tabela4[],6,FALSE),"")</f>
        <v>500</v>
      </c>
      <c r="O53" s="1" t="s">
        <v>274</v>
      </c>
      <c r="P53" s="13">
        <v>36892</v>
      </c>
    </row>
    <row r="54" spans="1:16" x14ac:dyDescent="0.25">
      <c r="A54" s="1" t="s">
        <v>76</v>
      </c>
      <c r="B54" s="7" t="str">
        <f>CONCATENATE("CNSARG",TEXT(consArgamassa[[#This Row],[Ordem]],"00000"))</f>
        <v>CNSARG00052</v>
      </c>
      <c r="C54" s="7">
        <v>52</v>
      </c>
      <c r="D54" s="10">
        <f>VLOOKUP(consArgamassa[[#This Row],[RecebID]],recebArgamassa[[RecebID]:[Insumo]],3,FALSE)</f>
        <v>44925</v>
      </c>
      <c r="E54" s="7" t="str">
        <f>VLOOKUP(consArgamassa[[#This Row],[RecebID]],recebArgamassa[[RecebID]:[Insumo]],4,FALSE)</f>
        <v>Argamassa Estabilizada</v>
      </c>
      <c r="F54" s="1" t="s">
        <v>268</v>
      </c>
      <c r="G54" s="1" t="s">
        <v>270</v>
      </c>
      <c r="H54" s="1" t="s">
        <v>297</v>
      </c>
      <c r="I54" s="1" t="s">
        <v>10</v>
      </c>
      <c r="J54" s="1" t="s">
        <v>242</v>
      </c>
      <c r="K54" s="2">
        <v>1</v>
      </c>
      <c r="L54" s="23">
        <f>IFERROR(VLOOKUP(consArgamassa[[#This Row],[Serviço]],Tabela4[],5,FALSE),"")</f>
        <v>0</v>
      </c>
      <c r="M54" s="22">
        <f>VLOOKUP(consArgamassa[[#This Row],[RecebID]],recebArgamassa[],14,FALSE)</f>
        <v>464.75</v>
      </c>
      <c r="N54" s="22">
        <f>IFERROR(VLOOKUP(consArgamassa[[#This Row],[Serviço]],Tabela4[],6,FALSE),"")</f>
        <v>500</v>
      </c>
      <c r="O54" s="1" t="s">
        <v>274</v>
      </c>
      <c r="P54" s="13">
        <v>36892</v>
      </c>
    </row>
    <row r="55" spans="1:16" x14ac:dyDescent="0.25">
      <c r="A55" s="1" t="s">
        <v>77</v>
      </c>
      <c r="B55" s="7" t="str">
        <f>CONCATENATE("CNSARG",TEXT(consArgamassa[[#This Row],[Ordem]],"00000"))</f>
        <v>CNSARG00053</v>
      </c>
      <c r="C55" s="7">
        <v>53</v>
      </c>
      <c r="D55" s="10">
        <f>VLOOKUP(consArgamassa[[#This Row],[RecebID]],recebArgamassa[[RecebID]:[Insumo]],3,FALSE)</f>
        <v>44929</v>
      </c>
      <c r="E55" s="7" t="str">
        <f>VLOOKUP(consArgamassa[[#This Row],[RecebID]],recebArgamassa[[RecebID]:[Insumo]],4,FALSE)</f>
        <v>Argamassa Estabilizada</v>
      </c>
      <c r="F55" s="1" t="s">
        <v>268</v>
      </c>
      <c r="G55" s="1" t="s">
        <v>270</v>
      </c>
      <c r="H55" s="1" t="s">
        <v>297</v>
      </c>
      <c r="I55" s="1" t="s">
        <v>10</v>
      </c>
      <c r="J55" s="1" t="s">
        <v>242</v>
      </c>
      <c r="K55" s="2">
        <v>1.5</v>
      </c>
      <c r="L55" s="23">
        <f>IFERROR(VLOOKUP(consArgamassa[[#This Row],[Serviço]],Tabela4[],5,FALSE),"")</f>
        <v>0</v>
      </c>
      <c r="M55" s="22">
        <f>VLOOKUP(consArgamassa[[#This Row],[RecebID]],recebArgamassa[],14,FALSE)</f>
        <v>464.75</v>
      </c>
      <c r="N55" s="22">
        <f>IFERROR(VLOOKUP(consArgamassa[[#This Row],[Serviço]],Tabela4[],6,FALSE),"")</f>
        <v>500</v>
      </c>
      <c r="O55" s="1" t="s">
        <v>274</v>
      </c>
      <c r="P55" s="13">
        <v>36892</v>
      </c>
    </row>
    <row r="56" spans="1:16" x14ac:dyDescent="0.25">
      <c r="A56" s="1" t="s">
        <v>78</v>
      </c>
      <c r="B56" s="7" t="str">
        <f>CONCATENATE("CNSARG",TEXT(consArgamassa[[#This Row],[Ordem]],"00000"))</f>
        <v>CNSARG00054</v>
      </c>
      <c r="C56" s="7">
        <v>54</v>
      </c>
      <c r="D56" s="10">
        <f>VLOOKUP(consArgamassa[[#This Row],[RecebID]],recebArgamassa[[RecebID]:[Insumo]],3,FALSE)</f>
        <v>44929</v>
      </c>
      <c r="E56" s="7" t="str">
        <f>VLOOKUP(consArgamassa[[#This Row],[RecebID]],recebArgamassa[[RecebID]:[Insumo]],4,FALSE)</f>
        <v>Argamassa Estabilizada</v>
      </c>
      <c r="F56" s="1" t="s">
        <v>249</v>
      </c>
      <c r="G56" s="1" t="s">
        <v>270</v>
      </c>
      <c r="H56" s="1" t="s">
        <v>297</v>
      </c>
      <c r="I56" s="1" t="s">
        <v>10</v>
      </c>
      <c r="J56" s="1" t="s">
        <v>23</v>
      </c>
      <c r="K56" s="2">
        <v>2.5</v>
      </c>
      <c r="L56" s="23">
        <f>IFERROR(VLOOKUP(consArgamassa[[#This Row],[Serviço]],Tabela4[],5,FALSE),"")</f>
        <v>0.125</v>
      </c>
      <c r="M56" s="22">
        <f>VLOOKUP(consArgamassa[[#This Row],[RecebID]],recebArgamassa[],14,FALSE)</f>
        <v>464.75</v>
      </c>
      <c r="N56" s="22">
        <f>IFERROR(VLOOKUP(consArgamassa[[#This Row],[Serviço]],Tabela4[],6,FALSE),"")</f>
        <v>500</v>
      </c>
      <c r="O56" s="1" t="s">
        <v>274</v>
      </c>
      <c r="P56" s="13">
        <v>36892</v>
      </c>
    </row>
    <row r="57" spans="1:16" x14ac:dyDescent="0.25">
      <c r="A57" s="1" t="s">
        <v>79</v>
      </c>
      <c r="B57" s="7" t="str">
        <f>CONCATENATE("CNSARG",TEXT(consArgamassa[[#This Row],[Ordem]],"00000"))</f>
        <v>CNSARG00055</v>
      </c>
      <c r="C57" s="7">
        <v>55</v>
      </c>
      <c r="D57" s="10">
        <f>VLOOKUP(consArgamassa[[#This Row],[RecebID]],recebArgamassa[[RecebID]:[Insumo]],3,FALSE)</f>
        <v>44929</v>
      </c>
      <c r="E57" s="7" t="str">
        <f>VLOOKUP(consArgamassa[[#This Row],[RecebID]],recebArgamassa[[RecebID]:[Insumo]],4,FALSE)</f>
        <v>Argamassa Estabilizada</v>
      </c>
      <c r="F57" s="1" t="s">
        <v>264</v>
      </c>
      <c r="G57" s="1" t="s">
        <v>256</v>
      </c>
      <c r="H57" s="1">
        <v>4</v>
      </c>
      <c r="I57" s="1" t="s">
        <v>9</v>
      </c>
      <c r="K57" s="2">
        <v>1.5</v>
      </c>
      <c r="L57" s="23">
        <f>IFERROR(VLOOKUP(consArgamassa[[#This Row],[Serviço]],Tabela4[],5,FALSE),"")</f>
        <v>1.3352499999999998</v>
      </c>
      <c r="M57" s="22">
        <f>VLOOKUP(consArgamassa[[#This Row],[RecebID]],recebArgamassa[],14,FALSE)</f>
        <v>464.75</v>
      </c>
      <c r="N57" s="22">
        <f>IFERROR(VLOOKUP(consArgamassa[[#This Row],[Serviço]],Tabela4[],6,FALSE),"")</f>
        <v>500</v>
      </c>
      <c r="O57" s="1" t="s">
        <v>274</v>
      </c>
      <c r="P57" s="13">
        <v>36892</v>
      </c>
    </row>
    <row r="58" spans="1:16" x14ac:dyDescent="0.25">
      <c r="A58" s="1" t="s">
        <v>80</v>
      </c>
      <c r="B58" s="7" t="str">
        <f>CONCATENATE("CNSARG",TEXT(consArgamassa[[#This Row],[Ordem]],"00000"))</f>
        <v>CNSARG00056</v>
      </c>
      <c r="C58" s="7">
        <v>56</v>
      </c>
      <c r="D58" s="10">
        <f>VLOOKUP(consArgamassa[[#This Row],[RecebID]],recebArgamassa[[RecebID]:[Insumo]],3,FALSE)</f>
        <v>44929</v>
      </c>
      <c r="E58" s="7" t="str">
        <f>VLOOKUP(consArgamassa[[#This Row],[RecebID]],recebArgamassa[[RecebID]:[Insumo]],4,FALSE)</f>
        <v>Argamassa Estabilizada</v>
      </c>
      <c r="F58" s="1" t="s">
        <v>264</v>
      </c>
      <c r="G58" s="1" t="s">
        <v>256</v>
      </c>
      <c r="H58" s="1">
        <v>8</v>
      </c>
      <c r="I58" s="1" t="s">
        <v>7</v>
      </c>
      <c r="K58" s="2">
        <v>1.5</v>
      </c>
      <c r="L58" s="23">
        <f>IFERROR(VLOOKUP(consArgamassa[[#This Row],[Serviço]],Tabela4[],5,FALSE),"")</f>
        <v>1.3352499999999998</v>
      </c>
      <c r="M58" s="22">
        <f>VLOOKUP(consArgamassa[[#This Row],[RecebID]],recebArgamassa[],14,FALSE)</f>
        <v>464.75</v>
      </c>
      <c r="N58" s="22">
        <f>IFERROR(VLOOKUP(consArgamassa[[#This Row],[Serviço]],Tabela4[],6,FALSE),"")</f>
        <v>500</v>
      </c>
      <c r="O58" s="1" t="s">
        <v>274</v>
      </c>
      <c r="P58" s="13">
        <v>36892</v>
      </c>
    </row>
    <row r="59" spans="1:16" x14ac:dyDescent="0.25">
      <c r="A59" s="1" t="s">
        <v>81</v>
      </c>
      <c r="B59" s="7" t="str">
        <f>CONCATENATE("CNSARG",TEXT(consArgamassa[[#This Row],[Ordem]],"00000"))</f>
        <v>CNSARG00057</v>
      </c>
      <c r="C59" s="7">
        <v>57</v>
      </c>
      <c r="D59" s="10">
        <f>VLOOKUP(consArgamassa[[#This Row],[RecebID]],recebArgamassa[[RecebID]:[Insumo]],3,FALSE)</f>
        <v>44930</v>
      </c>
      <c r="E59" s="7" t="str">
        <f>VLOOKUP(consArgamassa[[#This Row],[RecebID]],recebArgamassa[[RecebID]:[Insumo]],4,FALSE)</f>
        <v>Argamassa Estabilizada</v>
      </c>
      <c r="F59" s="1" t="s">
        <v>264</v>
      </c>
      <c r="G59" s="1" t="s">
        <v>256</v>
      </c>
      <c r="H59" s="1">
        <v>8</v>
      </c>
      <c r="I59" s="1" t="s">
        <v>7</v>
      </c>
      <c r="K59" s="2">
        <v>3</v>
      </c>
      <c r="L59" s="23">
        <f>IFERROR(VLOOKUP(consArgamassa[[#This Row],[Serviço]],Tabela4[],5,FALSE),"")</f>
        <v>1.3352499999999998</v>
      </c>
      <c r="M59" s="22">
        <f>VLOOKUP(consArgamassa[[#This Row],[RecebID]],recebArgamassa[],14,FALSE)</f>
        <v>464.75</v>
      </c>
      <c r="N59" s="22">
        <f>IFERROR(VLOOKUP(consArgamassa[[#This Row],[Serviço]],Tabela4[],6,FALSE),"")</f>
        <v>500</v>
      </c>
      <c r="O59" s="1" t="s">
        <v>274</v>
      </c>
      <c r="P59" s="13">
        <v>36892</v>
      </c>
    </row>
    <row r="60" spans="1:16" x14ac:dyDescent="0.25">
      <c r="A60" s="1" t="s">
        <v>82</v>
      </c>
      <c r="B60" s="7" t="str">
        <f>CONCATENATE("CNSARG",TEXT(consArgamassa[[#This Row],[Ordem]],"00000"))</f>
        <v>CNSARG00058</v>
      </c>
      <c r="C60" s="7">
        <v>58</v>
      </c>
      <c r="D60" s="10">
        <f>VLOOKUP(consArgamassa[[#This Row],[RecebID]],recebArgamassa[[RecebID]:[Insumo]],3,FALSE)</f>
        <v>44930</v>
      </c>
      <c r="E60" s="7" t="str">
        <f>VLOOKUP(consArgamassa[[#This Row],[RecebID]],recebArgamassa[[RecebID]:[Insumo]],4,FALSE)</f>
        <v>Argamassa Estabilizada</v>
      </c>
      <c r="F60" s="1" t="s">
        <v>249</v>
      </c>
      <c r="G60" s="1" t="s">
        <v>270</v>
      </c>
      <c r="H60" s="1" t="s">
        <v>297</v>
      </c>
      <c r="I60" s="1" t="s">
        <v>10</v>
      </c>
      <c r="J60" s="1" t="s">
        <v>23</v>
      </c>
      <c r="K60" s="2">
        <v>2</v>
      </c>
      <c r="L60" s="23">
        <f>IFERROR(VLOOKUP(consArgamassa[[#This Row],[Serviço]],Tabela4[],5,FALSE),"")</f>
        <v>0.125</v>
      </c>
      <c r="M60" s="22">
        <f>VLOOKUP(consArgamassa[[#This Row],[RecebID]],recebArgamassa[],14,FALSE)</f>
        <v>464.75</v>
      </c>
      <c r="N60" s="22">
        <f>IFERROR(VLOOKUP(consArgamassa[[#This Row],[Serviço]],Tabela4[],6,FALSE),"")</f>
        <v>500</v>
      </c>
      <c r="O60" s="1" t="s">
        <v>274</v>
      </c>
      <c r="P60" s="13">
        <v>36892</v>
      </c>
    </row>
    <row r="61" spans="1:16" x14ac:dyDescent="0.25">
      <c r="A61" s="1" t="s">
        <v>83</v>
      </c>
      <c r="B61" s="7" t="str">
        <f>CONCATENATE("CNSARG",TEXT(consArgamassa[[#This Row],[Ordem]],"00000"))</f>
        <v>CNSARG00059</v>
      </c>
      <c r="C61" s="7">
        <v>59</v>
      </c>
      <c r="D61" s="10">
        <f>VLOOKUP(consArgamassa[[#This Row],[RecebID]],recebArgamassa[[RecebID]:[Insumo]],3,FALSE)</f>
        <v>44931</v>
      </c>
      <c r="E61" s="7" t="str">
        <f>VLOOKUP(consArgamassa[[#This Row],[RecebID]],recebArgamassa[[RecebID]:[Insumo]],4,FALSE)</f>
        <v>Argamassa Estabilizada</v>
      </c>
      <c r="F61" s="1" t="s">
        <v>264</v>
      </c>
      <c r="G61" s="1" t="s">
        <v>256</v>
      </c>
      <c r="H61" s="1">
        <v>8</v>
      </c>
      <c r="I61" s="1" t="s">
        <v>10</v>
      </c>
      <c r="K61" s="2">
        <v>5</v>
      </c>
      <c r="L61" s="23">
        <f>IFERROR(VLOOKUP(consArgamassa[[#This Row],[Serviço]],Tabela4[],5,FALSE),"")</f>
        <v>1.3352499999999998</v>
      </c>
      <c r="M61" s="22">
        <f>VLOOKUP(consArgamassa[[#This Row],[RecebID]],recebArgamassa[],14,FALSE)</f>
        <v>464.75</v>
      </c>
      <c r="N61" s="22">
        <f>IFERROR(VLOOKUP(consArgamassa[[#This Row],[Serviço]],Tabela4[],6,FALSE),"")</f>
        <v>500</v>
      </c>
      <c r="O61" s="1" t="s">
        <v>274</v>
      </c>
      <c r="P61" s="13">
        <v>36892</v>
      </c>
    </row>
    <row r="62" spans="1:16" x14ac:dyDescent="0.25">
      <c r="A62" s="1" t="s">
        <v>84</v>
      </c>
      <c r="B62" s="7" t="str">
        <f>CONCATENATE("CNSARG",TEXT(consArgamassa[[#This Row],[Ordem]],"00000"))</f>
        <v>CNSARG00060</v>
      </c>
      <c r="C62" s="7">
        <v>60</v>
      </c>
      <c r="D62" s="10">
        <f>VLOOKUP(consArgamassa[[#This Row],[RecebID]],recebArgamassa[[RecebID]:[Insumo]],3,FALSE)</f>
        <v>44931</v>
      </c>
      <c r="E62" s="7" t="str">
        <f>VLOOKUP(consArgamassa[[#This Row],[RecebID]],recebArgamassa[[RecebID]:[Insumo]],4,FALSE)</f>
        <v>Argamassa Estabilizada</v>
      </c>
      <c r="F62" s="1" t="s">
        <v>264</v>
      </c>
      <c r="G62" s="1" t="s">
        <v>256</v>
      </c>
      <c r="H62" s="1">
        <v>8</v>
      </c>
      <c r="I62" s="1" t="s">
        <v>10</v>
      </c>
      <c r="K62" s="2">
        <v>3</v>
      </c>
      <c r="L62" s="23">
        <f>IFERROR(VLOOKUP(consArgamassa[[#This Row],[Serviço]],Tabela4[],5,FALSE),"")</f>
        <v>1.3352499999999998</v>
      </c>
      <c r="M62" s="22">
        <f>VLOOKUP(consArgamassa[[#This Row],[RecebID]],recebArgamassa[],14,FALSE)</f>
        <v>464.75</v>
      </c>
      <c r="N62" s="22">
        <f>IFERROR(VLOOKUP(consArgamassa[[#This Row],[Serviço]],Tabela4[],6,FALSE),"")</f>
        <v>500</v>
      </c>
      <c r="O62" s="1" t="s">
        <v>274</v>
      </c>
      <c r="P62" s="13">
        <v>36892</v>
      </c>
    </row>
    <row r="63" spans="1:16" x14ac:dyDescent="0.25">
      <c r="A63" s="1" t="s">
        <v>85</v>
      </c>
      <c r="B63" s="7" t="str">
        <f>CONCATENATE("CNSARG",TEXT(consArgamassa[[#This Row],[Ordem]],"00000"))</f>
        <v>CNSARG00061</v>
      </c>
      <c r="C63" s="7">
        <v>61</v>
      </c>
      <c r="D63" s="10">
        <f>VLOOKUP(consArgamassa[[#This Row],[RecebID]],recebArgamassa[[RecebID]:[Insumo]],3,FALSE)</f>
        <v>44931</v>
      </c>
      <c r="E63" s="7" t="str">
        <f>VLOOKUP(consArgamassa[[#This Row],[RecebID]],recebArgamassa[[RecebID]:[Insumo]],4,FALSE)</f>
        <v>Argamassa Estabilizada</v>
      </c>
      <c r="F63" s="1" t="s">
        <v>264</v>
      </c>
      <c r="G63" s="1" t="s">
        <v>255</v>
      </c>
      <c r="H63" s="1">
        <v>9</v>
      </c>
      <c r="I63" s="1" t="s">
        <v>9</v>
      </c>
      <c r="K63" s="2">
        <v>2</v>
      </c>
      <c r="L63" s="23">
        <f>IFERROR(VLOOKUP(consArgamassa[[#This Row],[Serviço]],Tabela4[],5,FALSE),"")</f>
        <v>1.3352499999999998</v>
      </c>
      <c r="M63" s="22">
        <f>VLOOKUP(consArgamassa[[#This Row],[RecebID]],recebArgamassa[],14,FALSE)</f>
        <v>464.75</v>
      </c>
      <c r="N63" s="22">
        <f>IFERROR(VLOOKUP(consArgamassa[[#This Row],[Serviço]],Tabela4[],6,FALSE),"")</f>
        <v>500</v>
      </c>
      <c r="O63" s="1" t="s">
        <v>274</v>
      </c>
      <c r="P63" s="13">
        <v>36892</v>
      </c>
    </row>
    <row r="64" spans="1:16" x14ac:dyDescent="0.25">
      <c r="A64" s="1" t="s">
        <v>86</v>
      </c>
      <c r="B64" s="7" t="str">
        <f>CONCATENATE("CNSARG",TEXT(consArgamassa[[#This Row],[Ordem]],"00000"))</f>
        <v>CNSARG00062</v>
      </c>
      <c r="C64" s="7">
        <v>62</v>
      </c>
      <c r="D64" s="10">
        <f>VLOOKUP(consArgamassa[[#This Row],[RecebID]],recebArgamassa[[RecebID]:[Insumo]],3,FALSE)</f>
        <v>44935</v>
      </c>
      <c r="E64" s="7" t="str">
        <f>VLOOKUP(consArgamassa[[#This Row],[RecebID]],recebArgamassa[[RecebID]:[Insumo]],4,FALSE)</f>
        <v>Argamassa Estabilizada</v>
      </c>
      <c r="F64" s="1" t="s">
        <v>264</v>
      </c>
      <c r="G64" s="1" t="s">
        <v>255</v>
      </c>
      <c r="H64" s="1">
        <v>9</v>
      </c>
      <c r="I64" s="1" t="s">
        <v>9</v>
      </c>
      <c r="K64" s="2">
        <v>3</v>
      </c>
      <c r="L64" s="23">
        <f>IFERROR(VLOOKUP(consArgamassa[[#This Row],[Serviço]],Tabela4[],5,FALSE),"")</f>
        <v>1.3352499999999998</v>
      </c>
      <c r="M64" s="22">
        <f>VLOOKUP(consArgamassa[[#This Row],[RecebID]],recebArgamassa[],14,FALSE)</f>
        <v>464.75</v>
      </c>
      <c r="N64" s="22">
        <f>IFERROR(VLOOKUP(consArgamassa[[#This Row],[Serviço]],Tabela4[],6,FALSE),"")</f>
        <v>500</v>
      </c>
      <c r="O64" s="1" t="s">
        <v>274</v>
      </c>
      <c r="P64" s="13">
        <v>36892</v>
      </c>
    </row>
    <row r="65" spans="1:16" x14ac:dyDescent="0.25">
      <c r="A65" s="1" t="s">
        <v>87</v>
      </c>
      <c r="B65" s="7" t="str">
        <f>CONCATENATE("CNSARG",TEXT(consArgamassa[[#This Row],[Ordem]],"00000"))</f>
        <v>CNSARG00063</v>
      </c>
      <c r="C65" s="7">
        <v>63</v>
      </c>
      <c r="D65" s="10">
        <f>VLOOKUP(consArgamassa[[#This Row],[RecebID]],recebArgamassa[[RecebID]:[Insumo]],3,FALSE)</f>
        <v>44935</v>
      </c>
      <c r="E65" s="7" t="str">
        <f>VLOOKUP(consArgamassa[[#This Row],[RecebID]],recebArgamassa[[RecebID]:[Insumo]],4,FALSE)</f>
        <v>Argamassa Estabilizada</v>
      </c>
      <c r="F65" s="1" t="s">
        <v>252</v>
      </c>
      <c r="G65" s="1" t="s">
        <v>270</v>
      </c>
      <c r="H65" s="1" t="s">
        <v>297</v>
      </c>
      <c r="I65" s="1" t="s">
        <v>10</v>
      </c>
      <c r="J65" s="1" t="s">
        <v>239</v>
      </c>
      <c r="K65" s="2">
        <v>2</v>
      </c>
      <c r="L65" s="23">
        <f>IFERROR(VLOOKUP(consArgamassa[[#This Row],[Serviço]],Tabela4[],5,FALSE),"")</f>
        <v>0</v>
      </c>
      <c r="M65" s="22">
        <f>VLOOKUP(consArgamassa[[#This Row],[RecebID]],recebArgamassa[],14,FALSE)</f>
        <v>464.75</v>
      </c>
      <c r="N65" s="22">
        <f>IFERROR(VLOOKUP(consArgamassa[[#This Row],[Serviço]],Tabela4[],6,FALSE),"")</f>
        <v>500</v>
      </c>
      <c r="O65" s="1" t="s">
        <v>274</v>
      </c>
      <c r="P65" s="13">
        <v>36892</v>
      </c>
    </row>
    <row r="66" spans="1:16" x14ac:dyDescent="0.25">
      <c r="A66" s="1" t="s">
        <v>88</v>
      </c>
      <c r="B66" s="7" t="str">
        <f>CONCATENATE("CNSARG",TEXT(consArgamassa[[#This Row],[Ordem]],"00000"))</f>
        <v>CNSARG00064</v>
      </c>
      <c r="C66" s="7">
        <v>64</v>
      </c>
      <c r="D66" s="10">
        <f>VLOOKUP(consArgamassa[[#This Row],[RecebID]],recebArgamassa[[RecebID]:[Insumo]],3,FALSE)</f>
        <v>44936</v>
      </c>
      <c r="E66" s="7" t="str">
        <f>VLOOKUP(consArgamassa[[#This Row],[RecebID]],recebArgamassa[[RecebID]:[Insumo]],4,FALSE)</f>
        <v>Argamassa Estabilizada</v>
      </c>
      <c r="F66" s="1" t="s">
        <v>264</v>
      </c>
      <c r="G66" s="1" t="s">
        <v>255</v>
      </c>
      <c r="H66" s="1">
        <v>9</v>
      </c>
      <c r="I66" s="1" t="s">
        <v>9</v>
      </c>
      <c r="K66" s="2">
        <v>3</v>
      </c>
      <c r="L66" s="23">
        <f>IFERROR(VLOOKUP(consArgamassa[[#This Row],[Serviço]],Tabela4[],5,FALSE),"")</f>
        <v>1.3352499999999998</v>
      </c>
      <c r="M66" s="22">
        <f>VLOOKUP(consArgamassa[[#This Row],[RecebID]],recebArgamassa[],14,FALSE)</f>
        <v>464.75</v>
      </c>
      <c r="N66" s="22">
        <f>IFERROR(VLOOKUP(consArgamassa[[#This Row],[Serviço]],Tabela4[],6,FALSE),"")</f>
        <v>500</v>
      </c>
      <c r="O66" s="1" t="s">
        <v>274</v>
      </c>
      <c r="P66" s="13">
        <v>36892</v>
      </c>
    </row>
    <row r="67" spans="1:16" x14ac:dyDescent="0.25">
      <c r="A67" s="1" t="s">
        <v>89</v>
      </c>
      <c r="B67" s="7" t="str">
        <f>CONCATENATE("CNSARG",TEXT(consArgamassa[[#This Row],[Ordem]],"00000"))</f>
        <v>CNSARG00065</v>
      </c>
      <c r="C67" s="7">
        <v>65</v>
      </c>
      <c r="D67" s="10">
        <f>VLOOKUP(consArgamassa[[#This Row],[RecebID]],recebArgamassa[[RecebID]:[Insumo]],3,FALSE)</f>
        <v>44936</v>
      </c>
      <c r="E67" s="7" t="str">
        <f>VLOOKUP(consArgamassa[[#This Row],[RecebID]],recebArgamassa[[RecebID]:[Insumo]],4,FALSE)</f>
        <v>Argamassa Estabilizada</v>
      </c>
      <c r="F67" s="1" t="s">
        <v>249</v>
      </c>
      <c r="G67" s="1" t="s">
        <v>270</v>
      </c>
      <c r="H67" s="1" t="s">
        <v>297</v>
      </c>
      <c r="I67" s="1" t="s">
        <v>10</v>
      </c>
      <c r="J67" s="1" t="s">
        <v>23</v>
      </c>
      <c r="K67" s="2">
        <v>1</v>
      </c>
      <c r="L67" s="23">
        <f>IFERROR(VLOOKUP(consArgamassa[[#This Row],[Serviço]],Tabela4[],5,FALSE),"")</f>
        <v>0.125</v>
      </c>
      <c r="M67" s="22">
        <f>VLOOKUP(consArgamassa[[#This Row],[RecebID]],recebArgamassa[],14,FALSE)</f>
        <v>464.75</v>
      </c>
      <c r="N67" s="22">
        <f>IFERROR(VLOOKUP(consArgamassa[[#This Row],[Serviço]],Tabela4[],6,FALSE),"")</f>
        <v>500</v>
      </c>
      <c r="O67" s="1" t="s">
        <v>274</v>
      </c>
      <c r="P67" s="13">
        <v>36892</v>
      </c>
    </row>
    <row r="68" spans="1:16" x14ac:dyDescent="0.25">
      <c r="A68" s="1" t="s">
        <v>90</v>
      </c>
      <c r="B68" s="7" t="str">
        <f>CONCATENATE("CNSARG",TEXT(consArgamassa[[#This Row],[Ordem]],"00000"))</f>
        <v>CNSARG00066</v>
      </c>
      <c r="C68" s="7">
        <v>66</v>
      </c>
      <c r="D68" s="10">
        <f>VLOOKUP(consArgamassa[[#This Row],[RecebID]],recebArgamassa[[RecebID]:[Insumo]],3,FALSE)</f>
        <v>44936</v>
      </c>
      <c r="E68" s="7" t="str">
        <f>VLOOKUP(consArgamassa[[#This Row],[RecebID]],recebArgamassa[[RecebID]:[Insumo]],4,FALSE)</f>
        <v>Argamassa Estabilizada</v>
      </c>
      <c r="F68" s="1" t="s">
        <v>264</v>
      </c>
      <c r="G68" s="1" t="s">
        <v>255</v>
      </c>
      <c r="H68" s="1">
        <v>4</v>
      </c>
      <c r="I68" s="1" t="s">
        <v>9</v>
      </c>
      <c r="K68" s="2">
        <v>1</v>
      </c>
      <c r="L68" s="23">
        <f>IFERROR(VLOOKUP(consArgamassa[[#This Row],[Serviço]],Tabela4[],5,FALSE),"")</f>
        <v>1.3352499999999998</v>
      </c>
      <c r="M68" s="22">
        <f>VLOOKUP(consArgamassa[[#This Row],[RecebID]],recebArgamassa[],14,FALSE)</f>
        <v>464.75</v>
      </c>
      <c r="N68" s="22">
        <f>IFERROR(VLOOKUP(consArgamassa[[#This Row],[Serviço]],Tabela4[],6,FALSE),"")</f>
        <v>500</v>
      </c>
      <c r="O68" s="1" t="s">
        <v>274</v>
      </c>
      <c r="P68" s="13">
        <v>36892</v>
      </c>
    </row>
    <row r="69" spans="1:16" x14ac:dyDescent="0.25">
      <c r="A69" s="1" t="s">
        <v>91</v>
      </c>
      <c r="B69" s="7" t="str">
        <f>CONCATENATE("CNSARG",TEXT(consArgamassa[[#This Row],[Ordem]],"00000"))</f>
        <v>CNSARG00067</v>
      </c>
      <c r="C69" s="7">
        <v>67</v>
      </c>
      <c r="D69" s="10">
        <f>VLOOKUP(consArgamassa[[#This Row],[RecebID]],recebArgamassa[[RecebID]:[Insumo]],3,FALSE)</f>
        <v>44944</v>
      </c>
      <c r="E69" s="7" t="str">
        <f>VLOOKUP(consArgamassa[[#This Row],[RecebID]],recebArgamassa[[RecebID]:[Insumo]],4,FALSE)</f>
        <v>Argamassa Estabilizada</v>
      </c>
      <c r="K69" s="2">
        <v>6</v>
      </c>
      <c r="L69" s="23" t="str">
        <f>IFERROR(VLOOKUP(consArgamassa[[#This Row],[Serviço]],Tabela4[],5,FALSE),"")</f>
        <v/>
      </c>
      <c r="M69" s="22">
        <f>VLOOKUP(consArgamassa[[#This Row],[RecebID]],recebArgamassa[],14,FALSE)</f>
        <v>464.75</v>
      </c>
      <c r="N69" s="22" t="str">
        <f>IFERROR(VLOOKUP(consArgamassa[[#This Row],[Serviço]],Tabela4[],6,FALSE),"")</f>
        <v/>
      </c>
      <c r="O69" s="1" t="s">
        <v>274</v>
      </c>
      <c r="P69" s="13">
        <v>36892</v>
      </c>
    </row>
    <row r="70" spans="1:16" x14ac:dyDescent="0.25">
      <c r="A70" s="1" t="s">
        <v>92</v>
      </c>
      <c r="B70" s="7" t="str">
        <f>CONCATENATE("CNSARG",TEXT(consArgamassa[[#This Row],[Ordem]],"00000"))</f>
        <v>CNSARG00068</v>
      </c>
      <c r="C70" s="7">
        <v>68</v>
      </c>
      <c r="D70" s="10">
        <f>VLOOKUP(consArgamassa[[#This Row],[RecebID]],recebArgamassa[[RecebID]:[Insumo]],3,FALSE)</f>
        <v>44946</v>
      </c>
      <c r="E70" s="7" t="str">
        <f>VLOOKUP(consArgamassa[[#This Row],[RecebID]],recebArgamassa[[RecebID]:[Insumo]],4,FALSE)</f>
        <v>Argamassa Estabilizada</v>
      </c>
      <c r="K70" s="2">
        <v>6</v>
      </c>
      <c r="L70" s="23" t="str">
        <f>IFERROR(VLOOKUP(consArgamassa[[#This Row],[Serviço]],Tabela4[],5,FALSE),"")</f>
        <v/>
      </c>
      <c r="M70" s="22">
        <f>VLOOKUP(consArgamassa[[#This Row],[RecebID]],recebArgamassa[],14,FALSE)</f>
        <v>464.75</v>
      </c>
      <c r="N70" s="22" t="str">
        <f>IFERROR(VLOOKUP(consArgamassa[[#This Row],[Serviço]],Tabela4[],6,FALSE),"")</f>
        <v/>
      </c>
      <c r="O70" s="1" t="s">
        <v>274</v>
      </c>
      <c r="P70" s="13">
        <v>36892</v>
      </c>
    </row>
    <row r="71" spans="1:16" x14ac:dyDescent="0.25">
      <c r="A71" s="1" t="s">
        <v>93</v>
      </c>
      <c r="B71" s="7" t="str">
        <f>CONCATENATE("CNSARG",TEXT(consArgamassa[[#This Row],[Ordem]],"00000"))</f>
        <v>CNSARG00069</v>
      </c>
      <c r="C71" s="7">
        <v>69</v>
      </c>
      <c r="D71" s="10">
        <f>VLOOKUP(consArgamassa[[#This Row],[RecebID]],recebArgamassa[[RecebID]:[Insumo]],3,FALSE)</f>
        <v>44949</v>
      </c>
      <c r="E71" s="7" t="str">
        <f>VLOOKUP(consArgamassa[[#This Row],[RecebID]],recebArgamassa[[RecebID]:[Insumo]],4,FALSE)</f>
        <v>Argamassa Estabilizada</v>
      </c>
      <c r="F71" s="1" t="s">
        <v>249</v>
      </c>
      <c r="G71" s="1" t="s">
        <v>270</v>
      </c>
      <c r="H71" s="1" t="s">
        <v>297</v>
      </c>
      <c r="I71" s="1" t="s">
        <v>10</v>
      </c>
      <c r="J71" s="1" t="s">
        <v>23</v>
      </c>
      <c r="K71" s="2">
        <v>1</v>
      </c>
      <c r="L71" s="23">
        <f>IFERROR(VLOOKUP(consArgamassa[[#This Row],[Serviço]],Tabela4[],5,FALSE),"")</f>
        <v>0.125</v>
      </c>
      <c r="M71" s="22">
        <f>VLOOKUP(consArgamassa[[#This Row],[RecebID]],recebArgamassa[],14,FALSE)</f>
        <v>464.75</v>
      </c>
      <c r="N71" s="22">
        <f>IFERROR(VLOOKUP(consArgamassa[[#This Row],[Serviço]],Tabela4[],6,FALSE),"")</f>
        <v>500</v>
      </c>
      <c r="O71" s="1" t="s">
        <v>274</v>
      </c>
      <c r="P71" s="13">
        <v>36892</v>
      </c>
    </row>
    <row r="72" spans="1:16" x14ac:dyDescent="0.25">
      <c r="A72" s="1" t="s">
        <v>94</v>
      </c>
      <c r="B72" s="7" t="str">
        <f>CONCATENATE("CNSARG",TEXT(consArgamassa[[#This Row],[Ordem]],"00000"))</f>
        <v>CNSARG00070</v>
      </c>
      <c r="C72" s="7">
        <v>70</v>
      </c>
      <c r="D72" s="10">
        <f>VLOOKUP(consArgamassa[[#This Row],[RecebID]],recebArgamassa[[RecebID]:[Insumo]],3,FALSE)</f>
        <v>44949</v>
      </c>
      <c r="E72" s="7" t="str">
        <f>VLOOKUP(consArgamassa[[#This Row],[RecebID]],recebArgamassa[[RecebID]:[Insumo]],4,FALSE)</f>
        <v>Argamassa Estabilizada</v>
      </c>
      <c r="F72" s="1" t="s">
        <v>264</v>
      </c>
      <c r="G72" s="1" t="s">
        <v>255</v>
      </c>
      <c r="H72" s="1">
        <v>9</v>
      </c>
      <c r="I72" s="1" t="s">
        <v>8</v>
      </c>
      <c r="K72" s="2">
        <v>2</v>
      </c>
      <c r="L72" s="23">
        <f>IFERROR(VLOOKUP(consArgamassa[[#This Row],[Serviço]],Tabela4[],5,FALSE),"")</f>
        <v>1.3352499999999998</v>
      </c>
      <c r="M72" s="22">
        <f>VLOOKUP(consArgamassa[[#This Row],[RecebID]],recebArgamassa[],14,FALSE)</f>
        <v>464.75</v>
      </c>
      <c r="N72" s="22">
        <f>IFERROR(VLOOKUP(consArgamassa[[#This Row],[Serviço]],Tabela4[],6,FALSE),"")</f>
        <v>500</v>
      </c>
      <c r="O72" s="1" t="s">
        <v>274</v>
      </c>
      <c r="P72" s="13">
        <v>36892</v>
      </c>
    </row>
    <row r="73" spans="1:16" x14ac:dyDescent="0.25">
      <c r="A73" s="1" t="s">
        <v>95</v>
      </c>
      <c r="B73" s="7" t="str">
        <f>CONCATENATE("CNSARG",TEXT(consArgamassa[[#This Row],[Ordem]],"00000"))</f>
        <v>CNSARG00071</v>
      </c>
      <c r="C73" s="7">
        <v>71</v>
      </c>
      <c r="D73" s="10">
        <f>VLOOKUP(consArgamassa[[#This Row],[RecebID]],recebArgamassa[[RecebID]:[Insumo]],3,FALSE)</f>
        <v>44949</v>
      </c>
      <c r="E73" s="7" t="str">
        <f>VLOOKUP(consArgamassa[[#This Row],[RecebID]],recebArgamassa[[RecebID]:[Insumo]],4,FALSE)</f>
        <v>Argamassa Estabilizada</v>
      </c>
      <c r="F73" s="1" t="s">
        <v>264</v>
      </c>
      <c r="G73" s="1" t="s">
        <v>255</v>
      </c>
      <c r="H73" s="1">
        <v>4</v>
      </c>
      <c r="I73" s="1" t="s">
        <v>9</v>
      </c>
      <c r="K73" s="2">
        <v>4</v>
      </c>
      <c r="L73" s="23">
        <f>IFERROR(VLOOKUP(consArgamassa[[#This Row],[Serviço]],Tabela4[],5,FALSE),"")</f>
        <v>1.3352499999999998</v>
      </c>
      <c r="M73" s="22">
        <f>VLOOKUP(consArgamassa[[#This Row],[RecebID]],recebArgamassa[],14,FALSE)</f>
        <v>464.75</v>
      </c>
      <c r="N73" s="22">
        <f>IFERROR(VLOOKUP(consArgamassa[[#This Row],[Serviço]],Tabela4[],6,FALSE),"")</f>
        <v>500</v>
      </c>
      <c r="O73" s="1" t="s">
        <v>274</v>
      </c>
      <c r="P73" s="13">
        <v>36892</v>
      </c>
    </row>
    <row r="74" spans="1:16" x14ac:dyDescent="0.25">
      <c r="A74" s="1" t="s">
        <v>96</v>
      </c>
      <c r="B74" s="7" t="str">
        <f>CONCATENATE("CNSARG",TEXT(consArgamassa[[#This Row],[Ordem]],"00000"))</f>
        <v>CNSARG00072</v>
      </c>
      <c r="C74" s="7">
        <v>72</v>
      </c>
      <c r="D74" s="10">
        <f>VLOOKUP(consArgamassa[[#This Row],[RecebID]],recebArgamassa[[RecebID]:[Insumo]],3,FALSE)</f>
        <v>44951</v>
      </c>
      <c r="E74" s="7" t="str">
        <f>VLOOKUP(consArgamassa[[#This Row],[RecebID]],recebArgamassa[[RecebID]:[Insumo]],4,FALSE)</f>
        <v>Argamassa Estabilizada</v>
      </c>
      <c r="F74" s="1" t="s">
        <v>264</v>
      </c>
      <c r="G74" s="1" t="s">
        <v>255</v>
      </c>
      <c r="H74" s="1">
        <v>9</v>
      </c>
      <c r="I74" s="1" t="s">
        <v>8</v>
      </c>
      <c r="K74" s="2">
        <v>6</v>
      </c>
      <c r="L74" s="23">
        <f>IFERROR(VLOOKUP(consArgamassa[[#This Row],[Serviço]],Tabela4[],5,FALSE),"")</f>
        <v>1.3352499999999998</v>
      </c>
      <c r="M74" s="22">
        <f>VLOOKUP(consArgamassa[[#This Row],[RecebID]],recebArgamassa[],14,FALSE)</f>
        <v>464.75</v>
      </c>
      <c r="N74" s="22">
        <f>IFERROR(VLOOKUP(consArgamassa[[#This Row],[Serviço]],Tabela4[],6,FALSE),"")</f>
        <v>500</v>
      </c>
      <c r="O74" s="1" t="s">
        <v>274</v>
      </c>
      <c r="P74" s="13">
        <v>36892</v>
      </c>
    </row>
    <row r="75" spans="1:16" x14ac:dyDescent="0.25">
      <c r="A75" s="1" t="s">
        <v>97</v>
      </c>
      <c r="B75" s="7" t="str">
        <f>CONCATENATE("CNSARG",TEXT(consArgamassa[[#This Row],[Ordem]],"00000"))</f>
        <v>CNSARG00073</v>
      </c>
      <c r="C75" s="7">
        <v>73</v>
      </c>
      <c r="D75" s="10">
        <f>VLOOKUP(consArgamassa[[#This Row],[RecebID]],recebArgamassa[[RecebID]:[Insumo]],3,FALSE)</f>
        <v>44952</v>
      </c>
      <c r="E75" s="7" t="str">
        <f>VLOOKUP(consArgamassa[[#This Row],[RecebID]],recebArgamassa[[RecebID]:[Insumo]],4,FALSE)</f>
        <v>Argamassa Estabilizada</v>
      </c>
      <c r="F75" s="1" t="s">
        <v>264</v>
      </c>
      <c r="G75" s="1" t="s">
        <v>255</v>
      </c>
      <c r="H75" s="1">
        <v>9</v>
      </c>
      <c r="I75" s="1" t="s">
        <v>7</v>
      </c>
      <c r="K75" s="2">
        <v>5</v>
      </c>
      <c r="L75" s="23">
        <f>IFERROR(VLOOKUP(consArgamassa[[#This Row],[Serviço]],Tabela4[],5,FALSE),"")</f>
        <v>1.3352499999999998</v>
      </c>
      <c r="M75" s="22">
        <f>VLOOKUP(consArgamassa[[#This Row],[RecebID]],recebArgamassa[],14,FALSE)</f>
        <v>464.75</v>
      </c>
      <c r="N75" s="22">
        <f>IFERROR(VLOOKUP(consArgamassa[[#This Row],[Serviço]],Tabela4[],6,FALSE),"")</f>
        <v>500</v>
      </c>
      <c r="O75" s="1" t="s">
        <v>274</v>
      </c>
      <c r="P75" s="13">
        <v>36892</v>
      </c>
    </row>
    <row r="76" spans="1:16" x14ac:dyDescent="0.25">
      <c r="A76" s="1" t="s">
        <v>98</v>
      </c>
      <c r="B76" s="7" t="str">
        <f>CONCATENATE("CNSARG",TEXT(consArgamassa[[#This Row],[Ordem]],"00000"))</f>
        <v>CNSARG00074</v>
      </c>
      <c r="C76" s="7">
        <v>74</v>
      </c>
      <c r="D76" s="10">
        <f>VLOOKUP(consArgamassa[[#This Row],[RecebID]],recebArgamassa[[RecebID]:[Insumo]],3,FALSE)</f>
        <v>44953</v>
      </c>
      <c r="E76" s="7" t="str">
        <f>VLOOKUP(consArgamassa[[#This Row],[RecebID]],recebArgamassa[[RecebID]:[Insumo]],4,FALSE)</f>
        <v>Argamassa Estabilizada</v>
      </c>
      <c r="F76" s="1" t="s">
        <v>264</v>
      </c>
      <c r="G76" s="1" t="s">
        <v>255</v>
      </c>
      <c r="H76" s="1">
        <v>9</v>
      </c>
      <c r="I76" s="1" t="s">
        <v>7</v>
      </c>
      <c r="K76" s="2">
        <v>2</v>
      </c>
      <c r="L76" s="23">
        <f>IFERROR(VLOOKUP(consArgamassa[[#This Row],[Serviço]],Tabela4[],5,FALSE),"")</f>
        <v>1.3352499999999998</v>
      </c>
      <c r="M76" s="22">
        <f>VLOOKUP(consArgamassa[[#This Row],[RecebID]],recebArgamassa[],14,FALSE)</f>
        <v>464.75</v>
      </c>
      <c r="N76" s="22">
        <f>IFERROR(VLOOKUP(consArgamassa[[#This Row],[Serviço]],Tabela4[],6,FALSE),"")</f>
        <v>500</v>
      </c>
      <c r="O76" s="1" t="s">
        <v>274</v>
      </c>
      <c r="P76" s="13">
        <v>36892</v>
      </c>
    </row>
    <row r="77" spans="1:16" x14ac:dyDescent="0.25">
      <c r="A77" s="1" t="s">
        <v>99</v>
      </c>
      <c r="B77" s="7" t="str">
        <f>CONCATENATE("CNSARG",TEXT(consArgamassa[[#This Row],[Ordem]],"00000"))</f>
        <v>CNSARG00075</v>
      </c>
      <c r="C77" s="7">
        <v>75</v>
      </c>
      <c r="D77" s="10">
        <f>VLOOKUP(consArgamassa[[#This Row],[RecebID]],recebArgamassa[[RecebID]:[Insumo]],3,FALSE)</f>
        <v>44953</v>
      </c>
      <c r="E77" s="7" t="str">
        <f>VLOOKUP(consArgamassa[[#This Row],[RecebID]],recebArgamassa[[RecebID]:[Insumo]],4,FALSE)</f>
        <v>Argamassa Estabilizada</v>
      </c>
      <c r="F77" s="1" t="s">
        <v>264</v>
      </c>
      <c r="G77" s="1" t="s">
        <v>255</v>
      </c>
      <c r="H77" s="1">
        <v>9</v>
      </c>
      <c r="I77" s="1" t="s">
        <v>10</v>
      </c>
      <c r="K77" s="2">
        <v>4</v>
      </c>
      <c r="L77" s="23">
        <f>IFERROR(VLOOKUP(consArgamassa[[#This Row],[Serviço]],Tabela4[],5,FALSE),"")</f>
        <v>1.3352499999999998</v>
      </c>
      <c r="M77" s="22">
        <f>VLOOKUP(consArgamassa[[#This Row],[RecebID]],recebArgamassa[],14,FALSE)</f>
        <v>464.75</v>
      </c>
      <c r="N77" s="22">
        <f>IFERROR(VLOOKUP(consArgamassa[[#This Row],[Serviço]],Tabela4[],6,FALSE),"")</f>
        <v>500</v>
      </c>
      <c r="O77" s="1" t="s">
        <v>274</v>
      </c>
      <c r="P77" s="13">
        <v>36892</v>
      </c>
    </row>
    <row r="78" spans="1:16" x14ac:dyDescent="0.25">
      <c r="A78" s="1" t="s">
        <v>100</v>
      </c>
      <c r="B78" s="7" t="str">
        <f>CONCATENATE("CNSARG",TEXT(consArgamassa[[#This Row],[Ordem]],"00000"))</f>
        <v>CNSARG00076</v>
      </c>
      <c r="C78" s="7">
        <v>76</v>
      </c>
      <c r="D78" s="10">
        <f>VLOOKUP(consArgamassa[[#This Row],[RecebID]],recebArgamassa[[RecebID]:[Insumo]],3,FALSE)</f>
        <v>44956</v>
      </c>
      <c r="E78" s="7" t="str">
        <f>VLOOKUP(consArgamassa[[#This Row],[RecebID]],recebArgamassa[[RecebID]:[Insumo]],4,FALSE)</f>
        <v>Argamassa Estabilizada</v>
      </c>
      <c r="F78" s="1" t="s">
        <v>264</v>
      </c>
      <c r="G78" s="1" t="s">
        <v>255</v>
      </c>
      <c r="H78" s="1">
        <v>9</v>
      </c>
      <c r="I78" s="1" t="s">
        <v>10</v>
      </c>
      <c r="K78" s="2">
        <v>4</v>
      </c>
      <c r="L78" s="23">
        <f>IFERROR(VLOOKUP(consArgamassa[[#This Row],[Serviço]],Tabela4[],5,FALSE),"")</f>
        <v>1.3352499999999998</v>
      </c>
      <c r="M78" s="22">
        <f>VLOOKUP(consArgamassa[[#This Row],[RecebID]],recebArgamassa[],14,FALSE)</f>
        <v>464.75</v>
      </c>
      <c r="N78" s="22">
        <f>IFERROR(VLOOKUP(consArgamassa[[#This Row],[Serviço]],Tabela4[],6,FALSE),"")</f>
        <v>500</v>
      </c>
      <c r="O78" s="1" t="s">
        <v>274</v>
      </c>
      <c r="P78" s="13">
        <v>36892</v>
      </c>
    </row>
    <row r="79" spans="1:16" x14ac:dyDescent="0.25">
      <c r="A79" s="1" t="s">
        <v>101</v>
      </c>
      <c r="B79" s="7" t="str">
        <f>CONCATENATE("CNSARG",TEXT(consArgamassa[[#This Row],[Ordem]],"00000"))</f>
        <v>CNSARG00077</v>
      </c>
      <c r="C79" s="7">
        <v>77</v>
      </c>
      <c r="D79" s="10">
        <f>VLOOKUP(consArgamassa[[#This Row],[RecebID]],recebArgamassa[[RecebID]:[Insumo]],3,FALSE)</f>
        <v>44956</v>
      </c>
      <c r="E79" s="7" t="str">
        <f>VLOOKUP(consArgamassa[[#This Row],[RecebID]],recebArgamassa[[RecebID]:[Insumo]],4,FALSE)</f>
        <v>Argamassa Estabilizada</v>
      </c>
      <c r="F79" s="1" t="s">
        <v>264</v>
      </c>
      <c r="G79" s="1" t="s">
        <v>256</v>
      </c>
      <c r="H79" s="1">
        <v>9</v>
      </c>
      <c r="I79" s="1" t="s">
        <v>9</v>
      </c>
      <c r="K79" s="2">
        <v>2</v>
      </c>
      <c r="L79" s="23">
        <f>IFERROR(VLOOKUP(consArgamassa[[#This Row],[Serviço]],Tabela4[],5,FALSE),"")</f>
        <v>1.3352499999999998</v>
      </c>
      <c r="M79" s="22">
        <f>VLOOKUP(consArgamassa[[#This Row],[RecebID]],recebArgamassa[],14,FALSE)</f>
        <v>464.75</v>
      </c>
      <c r="N79" s="22">
        <f>IFERROR(VLOOKUP(consArgamassa[[#This Row],[Serviço]],Tabela4[],6,FALSE),"")</f>
        <v>500</v>
      </c>
      <c r="O79" s="1" t="s">
        <v>274</v>
      </c>
      <c r="P79" s="13">
        <v>36892</v>
      </c>
    </row>
    <row r="80" spans="1:16" x14ac:dyDescent="0.25">
      <c r="A80" s="1" t="s">
        <v>102</v>
      </c>
      <c r="B80" s="7" t="str">
        <f>CONCATENATE("CNSARG",TEXT(consArgamassa[[#This Row],[Ordem]],"00000"))</f>
        <v>CNSARG00078</v>
      </c>
      <c r="C80" s="7">
        <v>78</v>
      </c>
      <c r="D80" s="10">
        <f>VLOOKUP(consArgamassa[[#This Row],[RecebID]],recebArgamassa[[RecebID]:[Insumo]],3,FALSE)</f>
        <v>44956</v>
      </c>
      <c r="E80" s="7" t="str">
        <f>VLOOKUP(consArgamassa[[#This Row],[RecebID]],recebArgamassa[[RecebID]:[Insumo]],4,FALSE)</f>
        <v>Argamassa Estabilizada</v>
      </c>
      <c r="F80" s="1" t="s">
        <v>247</v>
      </c>
      <c r="K80" s="2">
        <v>1</v>
      </c>
      <c r="L80" s="23">
        <f>IFERROR(VLOOKUP(consArgamassa[[#This Row],[Serviço]],Tabela4[],5,FALSE),"")</f>
        <v>0</v>
      </c>
      <c r="M80" s="22">
        <f>VLOOKUP(consArgamassa[[#This Row],[RecebID]],recebArgamassa[],14,FALSE)</f>
        <v>464.75</v>
      </c>
      <c r="N80" s="22">
        <f>IFERROR(VLOOKUP(consArgamassa[[#This Row],[Serviço]],Tabela4[],6,FALSE),"")</f>
        <v>500</v>
      </c>
      <c r="O80" s="1" t="s">
        <v>274</v>
      </c>
      <c r="P80" s="13">
        <v>36892</v>
      </c>
    </row>
    <row r="81" spans="1:16" x14ac:dyDescent="0.25">
      <c r="A81" s="1" t="s">
        <v>103</v>
      </c>
      <c r="B81" s="7" t="str">
        <f>CONCATENATE("CNSARG",TEXT(consArgamassa[[#This Row],[Ordem]],"00000"))</f>
        <v>CNSARG00079</v>
      </c>
      <c r="C81" s="7">
        <v>79</v>
      </c>
      <c r="D81" s="10">
        <f>VLOOKUP(consArgamassa[[#This Row],[RecebID]],recebArgamassa[[RecebID]:[Insumo]],3,FALSE)</f>
        <v>44957</v>
      </c>
      <c r="E81" s="7" t="str">
        <f>VLOOKUP(consArgamassa[[#This Row],[RecebID]],recebArgamassa[[RecebID]:[Insumo]],4,FALSE)</f>
        <v>Argamassa Estabilizada</v>
      </c>
      <c r="F81" s="1" t="s">
        <v>264</v>
      </c>
      <c r="G81" s="1" t="s">
        <v>256</v>
      </c>
      <c r="H81" s="1">
        <v>9</v>
      </c>
      <c r="I81" s="1" t="s">
        <v>9</v>
      </c>
      <c r="K81" s="2">
        <v>4</v>
      </c>
      <c r="L81" s="23">
        <f>IFERROR(VLOOKUP(consArgamassa[[#This Row],[Serviço]],Tabela4[],5,FALSE),"")</f>
        <v>1.3352499999999998</v>
      </c>
      <c r="M81" s="22">
        <f>VLOOKUP(consArgamassa[[#This Row],[RecebID]],recebArgamassa[],14,FALSE)</f>
        <v>464.75</v>
      </c>
      <c r="N81" s="22">
        <f>IFERROR(VLOOKUP(consArgamassa[[#This Row],[Serviço]],Tabela4[],6,FALSE),"")</f>
        <v>500</v>
      </c>
      <c r="O81" s="1" t="s">
        <v>274</v>
      </c>
      <c r="P81" s="13">
        <v>36892</v>
      </c>
    </row>
    <row r="82" spans="1:16" x14ac:dyDescent="0.25">
      <c r="A82" s="1" t="s">
        <v>104</v>
      </c>
      <c r="B82" s="7" t="str">
        <f>CONCATENATE("CNSARG",TEXT(consArgamassa[[#This Row],[Ordem]],"00000"))</f>
        <v>CNSARG00080</v>
      </c>
      <c r="C82" s="7">
        <v>80</v>
      </c>
      <c r="D82" s="10">
        <f>VLOOKUP(consArgamassa[[#This Row],[RecebID]],recebArgamassa[[RecebID]:[Insumo]],3,FALSE)</f>
        <v>44957</v>
      </c>
      <c r="E82" s="7" t="str">
        <f>VLOOKUP(consArgamassa[[#This Row],[RecebID]],recebArgamassa[[RecebID]:[Insumo]],4,FALSE)</f>
        <v>Argamassa Estabilizada</v>
      </c>
      <c r="F82" s="1" t="s">
        <v>247</v>
      </c>
      <c r="K82" s="2">
        <v>1</v>
      </c>
      <c r="L82" s="23">
        <f>IFERROR(VLOOKUP(consArgamassa[[#This Row],[Serviço]],Tabela4[],5,FALSE),"")</f>
        <v>0</v>
      </c>
      <c r="M82" s="22">
        <f>VLOOKUP(consArgamassa[[#This Row],[RecebID]],recebArgamassa[],14,FALSE)</f>
        <v>464.75</v>
      </c>
      <c r="N82" s="22">
        <f>IFERROR(VLOOKUP(consArgamassa[[#This Row],[Serviço]],Tabela4[],6,FALSE),"")</f>
        <v>500</v>
      </c>
      <c r="O82" s="1" t="s">
        <v>274</v>
      </c>
      <c r="P82" s="13">
        <v>36892</v>
      </c>
    </row>
    <row r="83" spans="1:16" x14ac:dyDescent="0.25">
      <c r="A83" s="1" t="s">
        <v>105</v>
      </c>
      <c r="B83" s="7" t="str">
        <f>CONCATENATE("CNSARG",TEXT(consArgamassa[[#This Row],[Ordem]],"00000"))</f>
        <v>CNSARG00081</v>
      </c>
      <c r="C83" s="7">
        <v>81</v>
      </c>
      <c r="D83" s="10">
        <f>VLOOKUP(consArgamassa[[#This Row],[RecebID]],recebArgamassa[[RecebID]:[Insumo]],3,FALSE)</f>
        <v>44958</v>
      </c>
      <c r="E83" s="7" t="str">
        <f>VLOOKUP(consArgamassa[[#This Row],[RecebID]],recebArgamassa[[RecebID]:[Insumo]],4,FALSE)</f>
        <v>Argamassa Estabilizada</v>
      </c>
      <c r="F83" s="1" t="s">
        <v>264</v>
      </c>
      <c r="G83" s="1" t="s">
        <v>256</v>
      </c>
      <c r="H83" s="1">
        <v>9</v>
      </c>
      <c r="I83" s="1" t="s">
        <v>8</v>
      </c>
      <c r="K83" s="2">
        <v>4</v>
      </c>
      <c r="L83" s="23">
        <f>IFERROR(VLOOKUP(consArgamassa[[#This Row],[Serviço]],Tabela4[],5,FALSE),"")</f>
        <v>1.3352499999999998</v>
      </c>
      <c r="M83" s="22">
        <f>VLOOKUP(consArgamassa[[#This Row],[RecebID]],recebArgamassa[],14,FALSE)</f>
        <v>464.75</v>
      </c>
      <c r="N83" s="22">
        <f>IFERROR(VLOOKUP(consArgamassa[[#This Row],[Serviço]],Tabela4[],6,FALSE),"")</f>
        <v>500</v>
      </c>
      <c r="O83" s="1" t="s">
        <v>274</v>
      </c>
      <c r="P83" s="13">
        <v>36892</v>
      </c>
    </row>
    <row r="84" spans="1:16" x14ac:dyDescent="0.25">
      <c r="A84" s="1" t="s">
        <v>106</v>
      </c>
      <c r="B84" s="7" t="str">
        <f>CONCATENATE("CNSARG",TEXT(consArgamassa[[#This Row],[Ordem]],"00000"))</f>
        <v>CNSARG00082</v>
      </c>
      <c r="C84" s="7">
        <v>82</v>
      </c>
      <c r="D84" s="10">
        <f>VLOOKUP(consArgamassa[[#This Row],[RecebID]],recebArgamassa[[RecebID]:[Insumo]],3,FALSE)</f>
        <v>44958</v>
      </c>
      <c r="E84" s="7" t="str">
        <f>VLOOKUP(consArgamassa[[#This Row],[RecebID]],recebArgamassa[[RecebID]:[Insumo]],4,FALSE)</f>
        <v>Argamassa Estabilizada</v>
      </c>
      <c r="F84" s="1" t="s">
        <v>248</v>
      </c>
      <c r="G84" s="1" t="s">
        <v>270</v>
      </c>
      <c r="H84" s="1">
        <v>5</v>
      </c>
      <c r="I84" s="1" t="s">
        <v>238</v>
      </c>
      <c r="J84" s="1" t="s">
        <v>238</v>
      </c>
      <c r="K84" s="2">
        <v>1</v>
      </c>
      <c r="L84" s="23">
        <f>IFERROR(VLOOKUP(consArgamassa[[#This Row],[Serviço]],Tabela4[],5,FALSE),"")</f>
        <v>1.98</v>
      </c>
      <c r="M84" s="22">
        <f>VLOOKUP(consArgamassa[[#This Row],[RecebID]],recebArgamassa[],14,FALSE)</f>
        <v>464.75</v>
      </c>
      <c r="N84" s="22">
        <f>IFERROR(VLOOKUP(consArgamassa[[#This Row],[Serviço]],Tabela4[],6,FALSE),"")</f>
        <v>500</v>
      </c>
      <c r="O84" s="1" t="s">
        <v>274</v>
      </c>
      <c r="P84" s="13">
        <v>36892</v>
      </c>
    </row>
    <row r="85" spans="1:16" x14ac:dyDescent="0.25">
      <c r="A85" s="1" t="s">
        <v>107</v>
      </c>
      <c r="B85" s="7" t="str">
        <f>CONCATENATE("CNSARG",TEXT(consArgamassa[[#This Row],[Ordem]],"00000"))</f>
        <v>CNSARG00083</v>
      </c>
      <c r="C85" s="7">
        <v>83</v>
      </c>
      <c r="D85" s="10">
        <f>VLOOKUP(consArgamassa[[#This Row],[RecebID]],recebArgamassa[[RecebID]:[Insumo]],3,FALSE)</f>
        <v>44959</v>
      </c>
      <c r="E85" s="7" t="str">
        <f>VLOOKUP(consArgamassa[[#This Row],[RecebID]],recebArgamassa[[RecebID]:[Insumo]],4,FALSE)</f>
        <v>Argamassa Estabilizada</v>
      </c>
      <c r="F85" s="1" t="s">
        <v>264</v>
      </c>
      <c r="G85" s="1" t="s">
        <v>256</v>
      </c>
      <c r="H85" s="1">
        <v>9</v>
      </c>
      <c r="I85" s="1" t="s">
        <v>8</v>
      </c>
      <c r="K85" s="2">
        <v>3</v>
      </c>
      <c r="L85" s="23">
        <f>IFERROR(VLOOKUP(consArgamassa[[#This Row],[Serviço]],Tabela4[],5,FALSE),"")</f>
        <v>1.3352499999999998</v>
      </c>
      <c r="M85" s="22">
        <f>VLOOKUP(consArgamassa[[#This Row],[RecebID]],recebArgamassa[],14,FALSE)</f>
        <v>464.75</v>
      </c>
      <c r="N85" s="22">
        <f>IFERROR(VLOOKUP(consArgamassa[[#This Row],[Serviço]],Tabela4[],6,FALSE),"")</f>
        <v>500</v>
      </c>
      <c r="O85" s="1" t="s">
        <v>274</v>
      </c>
      <c r="P85" s="13">
        <v>36892</v>
      </c>
    </row>
    <row r="86" spans="1:16" x14ac:dyDescent="0.25">
      <c r="A86" s="1" t="s">
        <v>108</v>
      </c>
      <c r="B86" s="7" t="str">
        <f>CONCATENATE("CNSARG",TEXT(consArgamassa[[#This Row],[Ordem]],"00000"))</f>
        <v>CNSARG00084</v>
      </c>
      <c r="C86" s="7">
        <v>84</v>
      </c>
      <c r="D86" s="10">
        <f>VLOOKUP(consArgamassa[[#This Row],[RecebID]],recebArgamassa[[RecebID]:[Insumo]],3,FALSE)</f>
        <v>44959</v>
      </c>
      <c r="E86" s="7" t="str">
        <f>VLOOKUP(consArgamassa[[#This Row],[RecebID]],recebArgamassa[[RecebID]:[Insumo]],4,FALSE)</f>
        <v>Argamassa Estabilizada</v>
      </c>
      <c r="F86" s="1" t="s">
        <v>264</v>
      </c>
      <c r="G86" s="1" t="s">
        <v>256</v>
      </c>
      <c r="H86" s="1">
        <v>9</v>
      </c>
      <c r="I86" s="1" t="s">
        <v>7</v>
      </c>
      <c r="K86" s="2">
        <v>2</v>
      </c>
      <c r="L86" s="23">
        <f>IFERROR(VLOOKUP(consArgamassa[[#This Row],[Serviço]],Tabela4[],5,FALSE),"")</f>
        <v>1.3352499999999998</v>
      </c>
      <c r="M86" s="22">
        <f>VLOOKUP(consArgamassa[[#This Row],[RecebID]],recebArgamassa[],14,FALSE)</f>
        <v>464.75</v>
      </c>
      <c r="N86" s="22">
        <f>IFERROR(VLOOKUP(consArgamassa[[#This Row],[Serviço]],Tabela4[],6,FALSE),"")</f>
        <v>500</v>
      </c>
      <c r="O86" s="1" t="s">
        <v>274</v>
      </c>
      <c r="P86" s="13">
        <v>36892</v>
      </c>
    </row>
    <row r="87" spans="1:16" x14ac:dyDescent="0.25">
      <c r="A87" s="1" t="s">
        <v>109</v>
      </c>
      <c r="B87" s="7" t="str">
        <f>CONCATENATE("CNSARG",TEXT(consArgamassa[[#This Row],[Ordem]],"00000"))</f>
        <v>CNSARG00085</v>
      </c>
      <c r="C87" s="7">
        <v>85</v>
      </c>
      <c r="D87" s="10">
        <f>VLOOKUP(consArgamassa[[#This Row],[RecebID]],recebArgamassa[[RecebID]:[Insumo]],3,FALSE)</f>
        <v>44960</v>
      </c>
      <c r="E87" s="7" t="str">
        <f>VLOOKUP(consArgamassa[[#This Row],[RecebID]],recebArgamassa[[RecebID]:[Insumo]],4,FALSE)</f>
        <v>Argamassa Estabilizada</v>
      </c>
      <c r="F87" s="1" t="s">
        <v>264</v>
      </c>
      <c r="G87" s="1" t="s">
        <v>256</v>
      </c>
      <c r="H87" s="1">
        <v>9</v>
      </c>
      <c r="I87" s="1" t="s">
        <v>7</v>
      </c>
      <c r="K87" s="2">
        <v>5</v>
      </c>
      <c r="L87" s="23">
        <f>IFERROR(VLOOKUP(consArgamassa[[#This Row],[Serviço]],Tabela4[],5,FALSE),"")</f>
        <v>1.3352499999999998</v>
      </c>
      <c r="M87" s="22">
        <f>VLOOKUP(consArgamassa[[#This Row],[RecebID]],recebArgamassa[],14,FALSE)</f>
        <v>464.75</v>
      </c>
      <c r="N87" s="22">
        <f>IFERROR(VLOOKUP(consArgamassa[[#This Row],[Serviço]],Tabela4[],6,FALSE),"")</f>
        <v>500</v>
      </c>
      <c r="O87" s="1" t="s">
        <v>274</v>
      </c>
      <c r="P87" s="13">
        <v>36892</v>
      </c>
    </row>
    <row r="88" spans="1:16" x14ac:dyDescent="0.25">
      <c r="A88" s="1" t="s">
        <v>110</v>
      </c>
      <c r="B88" s="7" t="str">
        <f>CONCATENATE("CNSARG",TEXT(consArgamassa[[#This Row],[Ordem]],"00000"))</f>
        <v>CNSARG00086</v>
      </c>
      <c r="C88" s="7">
        <v>86</v>
      </c>
      <c r="D88" s="10">
        <f>VLOOKUP(consArgamassa[[#This Row],[RecebID]],recebArgamassa[[RecebID]:[Insumo]],3,FALSE)</f>
        <v>44963</v>
      </c>
      <c r="E88" s="7" t="str">
        <f>VLOOKUP(consArgamassa[[#This Row],[RecebID]],recebArgamassa[[RecebID]:[Insumo]],4,FALSE)</f>
        <v>Argamassa Estabilizada</v>
      </c>
      <c r="F88" s="1" t="s">
        <v>264</v>
      </c>
      <c r="G88" s="1" t="s">
        <v>256</v>
      </c>
      <c r="H88" s="1">
        <v>9</v>
      </c>
      <c r="I88" s="1" t="s">
        <v>10</v>
      </c>
      <c r="K88" s="2">
        <v>5</v>
      </c>
      <c r="L88" s="23">
        <f>IFERROR(VLOOKUP(consArgamassa[[#This Row],[Serviço]],Tabela4[],5,FALSE),"")</f>
        <v>1.3352499999999998</v>
      </c>
      <c r="M88" s="22">
        <f>VLOOKUP(consArgamassa[[#This Row],[RecebID]],recebArgamassa[],14,FALSE)</f>
        <v>464.75</v>
      </c>
      <c r="N88" s="22">
        <f>IFERROR(VLOOKUP(consArgamassa[[#This Row],[Serviço]],Tabela4[],6,FALSE),"")</f>
        <v>500</v>
      </c>
      <c r="O88" s="1" t="s">
        <v>274</v>
      </c>
      <c r="P88" s="13">
        <v>36892</v>
      </c>
    </row>
    <row r="89" spans="1:16" x14ac:dyDescent="0.25">
      <c r="A89" s="1" t="s">
        <v>111</v>
      </c>
      <c r="B89" s="7" t="str">
        <f>CONCATENATE("CNSARG",TEXT(consArgamassa[[#This Row],[Ordem]],"00000"))</f>
        <v>CNSARG00087</v>
      </c>
      <c r="C89" s="7">
        <v>87</v>
      </c>
      <c r="D89" s="10">
        <f>VLOOKUP(consArgamassa[[#This Row],[RecebID]],recebArgamassa[[RecebID]:[Insumo]],3,FALSE)</f>
        <v>44963</v>
      </c>
      <c r="E89" s="7" t="str">
        <f>VLOOKUP(consArgamassa[[#This Row],[RecebID]],recebArgamassa[[RecebID]:[Insumo]],4,FALSE)</f>
        <v>Argamassa Estabilizada</v>
      </c>
      <c r="F89" s="1" t="s">
        <v>254</v>
      </c>
      <c r="G89" s="1" t="s">
        <v>270</v>
      </c>
      <c r="H89" s="1" t="s">
        <v>297</v>
      </c>
      <c r="I89" s="1" t="s">
        <v>10</v>
      </c>
      <c r="J89" s="1" t="s">
        <v>245</v>
      </c>
      <c r="K89" s="2">
        <v>1</v>
      </c>
      <c r="L89" s="23">
        <f>IFERROR(VLOOKUP(consArgamassa[[#This Row],[Serviço]],Tabela4[],5,FALSE),"")</f>
        <v>0</v>
      </c>
      <c r="M89" s="22">
        <f>VLOOKUP(consArgamassa[[#This Row],[RecebID]],recebArgamassa[],14,FALSE)</f>
        <v>464.75</v>
      </c>
      <c r="N89" s="22">
        <f>IFERROR(VLOOKUP(consArgamassa[[#This Row],[Serviço]],Tabela4[],6,FALSE),"")</f>
        <v>500</v>
      </c>
      <c r="O89" s="1" t="s">
        <v>274</v>
      </c>
      <c r="P89" s="13">
        <v>36892</v>
      </c>
    </row>
    <row r="90" spans="1:16" x14ac:dyDescent="0.25">
      <c r="A90" s="1" t="s">
        <v>112</v>
      </c>
      <c r="B90" s="7" t="str">
        <f>CONCATENATE("CNSARG",TEXT(consArgamassa[[#This Row],[Ordem]],"00000"))</f>
        <v>CNSARG00088</v>
      </c>
      <c r="C90" s="7">
        <v>88</v>
      </c>
      <c r="D90" s="10">
        <f>VLOOKUP(consArgamassa[[#This Row],[RecebID]],recebArgamassa[[RecebID]:[Insumo]],3,FALSE)</f>
        <v>44963</v>
      </c>
      <c r="E90" s="7" t="str">
        <f>VLOOKUP(consArgamassa[[#This Row],[RecebID]],recebArgamassa[[RecebID]:[Insumo]],4,FALSE)</f>
        <v>Argamassa Estabilizada</v>
      </c>
      <c r="F90" s="1" t="s">
        <v>249</v>
      </c>
      <c r="G90" s="1" t="s">
        <v>270</v>
      </c>
      <c r="H90" s="1" t="s">
        <v>297</v>
      </c>
      <c r="I90" s="1" t="s">
        <v>10</v>
      </c>
      <c r="J90" s="1" t="s">
        <v>23</v>
      </c>
      <c r="K90" s="2">
        <v>1</v>
      </c>
      <c r="L90" s="23">
        <f>IFERROR(VLOOKUP(consArgamassa[[#This Row],[Serviço]],Tabela4[],5,FALSE),"")</f>
        <v>0.125</v>
      </c>
      <c r="M90" s="22">
        <f>VLOOKUP(consArgamassa[[#This Row],[RecebID]],recebArgamassa[],14,FALSE)</f>
        <v>464.75</v>
      </c>
      <c r="N90" s="22">
        <f>IFERROR(VLOOKUP(consArgamassa[[#This Row],[Serviço]],Tabela4[],6,FALSE),"")</f>
        <v>500</v>
      </c>
      <c r="O90" s="1" t="s">
        <v>274</v>
      </c>
      <c r="P90" s="13">
        <v>36892</v>
      </c>
    </row>
    <row r="91" spans="1:16" x14ac:dyDescent="0.25">
      <c r="A91" s="1" t="s">
        <v>113</v>
      </c>
      <c r="B91" s="7" t="str">
        <f>CONCATENATE("CNSARG",TEXT(consArgamassa[[#This Row],[Ordem]],"00000"))</f>
        <v>CNSARG00089</v>
      </c>
      <c r="C91" s="7">
        <v>89</v>
      </c>
      <c r="D91" s="10">
        <f>VLOOKUP(consArgamassa[[#This Row],[RecebID]],recebArgamassa[[RecebID]:[Insumo]],3,FALSE)</f>
        <v>44964</v>
      </c>
      <c r="E91" s="7" t="str">
        <f>VLOOKUP(consArgamassa[[#This Row],[RecebID]],recebArgamassa[[RecebID]:[Insumo]],4,FALSE)</f>
        <v>Argamassa Estabilizada</v>
      </c>
      <c r="F91" s="1" t="s">
        <v>276</v>
      </c>
      <c r="G91" s="1" t="s">
        <v>270</v>
      </c>
      <c r="H91" s="1" t="s">
        <v>296</v>
      </c>
      <c r="I91" s="1" t="s">
        <v>10</v>
      </c>
      <c r="J91" s="1" t="s">
        <v>243</v>
      </c>
      <c r="K91" s="2">
        <v>2</v>
      </c>
      <c r="L91" s="23">
        <f>IFERROR(VLOOKUP(consArgamassa[[#This Row],[Serviço]],Tabela4[],5,FALSE),"")</f>
        <v>0.81818181818181823</v>
      </c>
      <c r="M91" s="22">
        <f>VLOOKUP(consArgamassa[[#This Row],[RecebID]],recebArgamassa[],14,FALSE)</f>
        <v>464.75</v>
      </c>
      <c r="N91" s="22">
        <f>IFERROR(VLOOKUP(consArgamassa[[#This Row],[Serviço]],Tabela4[],6,FALSE),"")</f>
        <v>500</v>
      </c>
      <c r="O91" s="1" t="s">
        <v>274</v>
      </c>
      <c r="P91" s="13">
        <v>36892</v>
      </c>
    </row>
    <row r="92" spans="1:16" x14ac:dyDescent="0.25">
      <c r="A92" s="1" t="s">
        <v>114</v>
      </c>
      <c r="B92" s="7" t="str">
        <f>CONCATENATE("CNSARG",TEXT(consArgamassa[[#This Row],[Ordem]],"00000"))</f>
        <v>CNSARG00090</v>
      </c>
      <c r="C92" s="7">
        <v>90</v>
      </c>
      <c r="D92" s="10">
        <f>VLOOKUP(consArgamassa[[#This Row],[RecebID]],recebArgamassa[[RecebID]:[Insumo]],3,FALSE)</f>
        <v>44964</v>
      </c>
      <c r="E92" s="7" t="str">
        <f>VLOOKUP(consArgamassa[[#This Row],[RecebID]],recebArgamassa[[RecebID]:[Insumo]],4,FALSE)</f>
        <v>Argamassa Estabilizada</v>
      </c>
      <c r="F92" s="1" t="s">
        <v>264</v>
      </c>
      <c r="G92" s="1" t="s">
        <v>255</v>
      </c>
      <c r="H92" s="1">
        <v>4</v>
      </c>
      <c r="I92" s="1" t="s">
        <v>9</v>
      </c>
      <c r="K92" s="2">
        <v>1</v>
      </c>
      <c r="L92" s="23">
        <f>IFERROR(VLOOKUP(consArgamassa[[#This Row],[Serviço]],Tabela4[],5,FALSE),"")</f>
        <v>1.3352499999999998</v>
      </c>
      <c r="M92" s="22">
        <f>VLOOKUP(consArgamassa[[#This Row],[RecebID]],recebArgamassa[],14,FALSE)</f>
        <v>464.75</v>
      </c>
      <c r="N92" s="22">
        <f>IFERROR(VLOOKUP(consArgamassa[[#This Row],[Serviço]],Tabela4[],6,FALSE),"")</f>
        <v>500</v>
      </c>
      <c r="O92" s="1" t="s">
        <v>274</v>
      </c>
      <c r="P92" s="13">
        <v>36892</v>
      </c>
    </row>
    <row r="93" spans="1:16" x14ac:dyDescent="0.25">
      <c r="A93" s="1" t="s">
        <v>115</v>
      </c>
      <c r="B93" s="7" t="str">
        <f>CONCATENATE("CNSARG",TEXT(consArgamassa[[#This Row],[Ordem]],"00000"))</f>
        <v>CNSARG00091</v>
      </c>
      <c r="C93" s="7">
        <v>91</v>
      </c>
      <c r="D93" s="10">
        <f>VLOOKUP(consArgamassa[[#This Row],[RecebID]],recebArgamassa[[RecebID]:[Insumo]],3,FALSE)</f>
        <v>44964</v>
      </c>
      <c r="E93" s="7" t="str">
        <f>VLOOKUP(consArgamassa[[#This Row],[RecebID]],recebArgamassa[[RecebID]:[Insumo]],4,FALSE)</f>
        <v>Argamassa Estabilizada</v>
      </c>
      <c r="F93" s="1" t="s">
        <v>264</v>
      </c>
      <c r="G93" s="1" t="s">
        <v>256</v>
      </c>
      <c r="H93" s="1">
        <v>9</v>
      </c>
      <c r="I93" s="1" t="s">
        <v>10</v>
      </c>
      <c r="K93" s="2">
        <v>2</v>
      </c>
      <c r="L93" s="23">
        <f>IFERROR(VLOOKUP(consArgamassa[[#This Row],[Serviço]],Tabela4[],5,FALSE),"")</f>
        <v>1.3352499999999998</v>
      </c>
      <c r="M93" s="22">
        <f>VLOOKUP(consArgamassa[[#This Row],[RecebID]],recebArgamassa[],14,FALSE)</f>
        <v>464.75</v>
      </c>
      <c r="N93" s="22">
        <f>IFERROR(VLOOKUP(consArgamassa[[#This Row],[Serviço]],Tabela4[],6,FALSE),"")</f>
        <v>500</v>
      </c>
      <c r="O93" s="1" t="s">
        <v>274</v>
      </c>
      <c r="P93" s="13">
        <v>36892</v>
      </c>
    </row>
    <row r="94" spans="1:16" x14ac:dyDescent="0.25">
      <c r="A94" s="1" t="s">
        <v>116</v>
      </c>
      <c r="B94" s="7" t="str">
        <f>CONCATENATE("CNSARG",TEXT(consArgamassa[[#This Row],[Ordem]],"00000"))</f>
        <v>CNSARG00092</v>
      </c>
      <c r="C94" s="7">
        <v>92</v>
      </c>
      <c r="D94" s="10">
        <f>VLOOKUP(consArgamassa[[#This Row],[RecebID]],recebArgamassa[[RecebID]:[Insumo]],3,FALSE)</f>
        <v>44965</v>
      </c>
      <c r="E94" s="7" t="str">
        <f>VLOOKUP(consArgamassa[[#This Row],[RecebID]],recebArgamassa[[RecebID]:[Insumo]],4,FALSE)</f>
        <v>Argamassa Estabilizada</v>
      </c>
      <c r="F94" s="1" t="s">
        <v>264</v>
      </c>
      <c r="G94" s="1" t="s">
        <v>255</v>
      </c>
      <c r="H94" s="1">
        <v>10</v>
      </c>
      <c r="I94" s="1" t="s">
        <v>9</v>
      </c>
      <c r="K94" s="2">
        <v>2</v>
      </c>
      <c r="L94" s="23">
        <f>IFERROR(VLOOKUP(consArgamassa[[#This Row],[Serviço]],Tabela4[],5,FALSE),"")</f>
        <v>1.3352499999999998</v>
      </c>
      <c r="M94" s="22">
        <f>VLOOKUP(consArgamassa[[#This Row],[RecebID]],recebArgamassa[],14,FALSE)</f>
        <v>464.75</v>
      </c>
      <c r="N94" s="22">
        <f>IFERROR(VLOOKUP(consArgamassa[[#This Row],[Serviço]],Tabela4[],6,FALSE),"")</f>
        <v>500</v>
      </c>
      <c r="O94" s="1" t="s">
        <v>274</v>
      </c>
      <c r="P94" s="13">
        <v>36892</v>
      </c>
    </row>
    <row r="95" spans="1:16" x14ac:dyDescent="0.25">
      <c r="A95" s="1" t="s">
        <v>117</v>
      </c>
      <c r="B95" s="7" t="str">
        <f>CONCATENATE("CNSARG",TEXT(consArgamassa[[#This Row],[Ordem]],"00000"))</f>
        <v>CNSARG00093</v>
      </c>
      <c r="C95" s="7">
        <v>93</v>
      </c>
      <c r="D95" s="10">
        <f>VLOOKUP(consArgamassa[[#This Row],[RecebID]],recebArgamassa[[RecebID]:[Insumo]],3,FALSE)</f>
        <v>44965</v>
      </c>
      <c r="E95" s="7" t="str">
        <f>VLOOKUP(consArgamassa[[#This Row],[RecebID]],recebArgamassa[[RecebID]:[Insumo]],4,FALSE)</f>
        <v>Argamassa Estabilizada</v>
      </c>
      <c r="F95" s="1" t="s">
        <v>276</v>
      </c>
      <c r="G95" s="1" t="s">
        <v>270</v>
      </c>
      <c r="H95" s="1" t="s">
        <v>296</v>
      </c>
      <c r="I95" s="1" t="s">
        <v>10</v>
      </c>
      <c r="J95" s="1" t="s">
        <v>243</v>
      </c>
      <c r="K95" s="2">
        <v>3</v>
      </c>
      <c r="L95" s="23">
        <f>IFERROR(VLOOKUP(consArgamassa[[#This Row],[Serviço]],Tabela4[],5,FALSE),"")</f>
        <v>0.81818181818181823</v>
      </c>
      <c r="M95" s="22">
        <f>VLOOKUP(consArgamassa[[#This Row],[RecebID]],recebArgamassa[],14,FALSE)</f>
        <v>464.75</v>
      </c>
      <c r="N95" s="22">
        <f>IFERROR(VLOOKUP(consArgamassa[[#This Row],[Serviço]],Tabela4[],6,FALSE),"")</f>
        <v>500</v>
      </c>
      <c r="O95" s="1" t="s">
        <v>274</v>
      </c>
      <c r="P95" s="13">
        <v>36892</v>
      </c>
    </row>
    <row r="96" spans="1:16" x14ac:dyDescent="0.25">
      <c r="A96" s="1" t="s">
        <v>118</v>
      </c>
      <c r="B96" s="7" t="str">
        <f>CONCATENATE("CNSARG",TEXT(consArgamassa[[#This Row],[Ordem]],"00000"))</f>
        <v>CNSARG00094</v>
      </c>
      <c r="C96" s="7">
        <v>94</v>
      </c>
      <c r="D96" s="10">
        <f>VLOOKUP(consArgamassa[[#This Row],[RecebID]],recebArgamassa[[RecebID]:[Insumo]],3,FALSE)</f>
        <v>44967</v>
      </c>
      <c r="E96" s="7" t="str">
        <f>VLOOKUP(consArgamassa[[#This Row],[RecebID]],recebArgamassa[[RecebID]:[Insumo]],4,FALSE)</f>
        <v>Argamassa Estabilizada</v>
      </c>
      <c r="F96" s="1" t="s">
        <v>249</v>
      </c>
      <c r="G96" s="1" t="s">
        <v>270</v>
      </c>
      <c r="H96" s="1" t="s">
        <v>297</v>
      </c>
      <c r="I96" s="1" t="s">
        <v>10</v>
      </c>
      <c r="J96" s="1" t="s">
        <v>23</v>
      </c>
      <c r="K96" s="2">
        <v>1.5</v>
      </c>
      <c r="L96" s="23">
        <f>IFERROR(VLOOKUP(consArgamassa[[#This Row],[Serviço]],Tabela4[],5,FALSE),"")</f>
        <v>0.125</v>
      </c>
      <c r="M96" s="22">
        <f>VLOOKUP(consArgamassa[[#This Row],[RecebID]],recebArgamassa[],14,FALSE)</f>
        <v>464.75</v>
      </c>
      <c r="N96" s="22">
        <f>IFERROR(VLOOKUP(consArgamassa[[#This Row],[Serviço]],Tabela4[],6,FALSE),"")</f>
        <v>500</v>
      </c>
      <c r="O96" s="1" t="s">
        <v>274</v>
      </c>
      <c r="P96" s="13">
        <v>36892</v>
      </c>
    </row>
    <row r="97" spans="1:16" x14ac:dyDescent="0.25">
      <c r="A97" s="1" t="s">
        <v>119</v>
      </c>
      <c r="B97" s="7" t="str">
        <f>CONCATENATE("CNSARG",TEXT(consArgamassa[[#This Row],[Ordem]],"00000"))</f>
        <v>CNSARG00095</v>
      </c>
      <c r="C97" s="7">
        <v>95</v>
      </c>
      <c r="D97" s="10">
        <f>VLOOKUP(consArgamassa[[#This Row],[RecebID]],recebArgamassa[[RecebID]:[Insumo]],3,FALSE)</f>
        <v>44967</v>
      </c>
      <c r="E97" s="7" t="str">
        <f>VLOOKUP(consArgamassa[[#This Row],[RecebID]],recebArgamassa[[RecebID]:[Insumo]],4,FALSE)</f>
        <v>Argamassa Estabilizada</v>
      </c>
      <c r="F97" s="1" t="s">
        <v>276</v>
      </c>
      <c r="G97" s="1" t="s">
        <v>270</v>
      </c>
      <c r="H97" s="1" t="s">
        <v>296</v>
      </c>
      <c r="I97" s="1" t="s">
        <v>10</v>
      </c>
      <c r="J97" s="1" t="s">
        <v>243</v>
      </c>
      <c r="K97" s="2">
        <v>1.5</v>
      </c>
      <c r="L97" s="23">
        <f>IFERROR(VLOOKUP(consArgamassa[[#This Row],[Serviço]],Tabela4[],5,FALSE),"")</f>
        <v>0.81818181818181823</v>
      </c>
      <c r="M97" s="22">
        <f>VLOOKUP(consArgamassa[[#This Row],[RecebID]],recebArgamassa[],14,FALSE)</f>
        <v>464.75</v>
      </c>
      <c r="N97" s="22">
        <f>IFERROR(VLOOKUP(consArgamassa[[#This Row],[Serviço]],Tabela4[],6,FALSE),"")</f>
        <v>500</v>
      </c>
      <c r="O97" s="1" t="s">
        <v>274</v>
      </c>
      <c r="P97" s="13">
        <v>36892</v>
      </c>
    </row>
    <row r="98" spans="1:16" x14ac:dyDescent="0.25">
      <c r="A98" s="1" t="s">
        <v>120</v>
      </c>
      <c r="B98" s="7" t="str">
        <f>CONCATENATE("CNSARG",TEXT(consArgamassa[[#This Row],[Ordem]],"00000"))</f>
        <v>CNSARG00096</v>
      </c>
      <c r="C98" s="7">
        <v>96</v>
      </c>
      <c r="D98" s="10">
        <f>VLOOKUP(consArgamassa[[#This Row],[RecebID]],recebArgamassa[[RecebID]:[Insumo]],3,FALSE)</f>
        <v>44967</v>
      </c>
      <c r="E98" s="7" t="str">
        <f>VLOOKUP(consArgamassa[[#This Row],[RecebID]],recebArgamassa[[RecebID]:[Insumo]],4,FALSE)</f>
        <v>Argamassa Estabilizada</v>
      </c>
      <c r="F98" s="1" t="s">
        <v>264</v>
      </c>
      <c r="G98" s="1" t="s">
        <v>255</v>
      </c>
      <c r="H98" s="1">
        <v>10</v>
      </c>
      <c r="I98" s="1" t="s">
        <v>9</v>
      </c>
      <c r="K98" s="2">
        <v>4</v>
      </c>
      <c r="L98" s="23">
        <f>IFERROR(VLOOKUP(consArgamassa[[#This Row],[Serviço]],Tabela4[],5,FALSE),"")</f>
        <v>1.3352499999999998</v>
      </c>
      <c r="M98" s="22">
        <f>VLOOKUP(consArgamassa[[#This Row],[RecebID]],recebArgamassa[],14,FALSE)</f>
        <v>464.75</v>
      </c>
      <c r="N98" s="22">
        <f>IFERROR(VLOOKUP(consArgamassa[[#This Row],[Serviço]],Tabela4[],6,FALSE),"")</f>
        <v>500</v>
      </c>
      <c r="O98" s="1" t="s">
        <v>274</v>
      </c>
      <c r="P98" s="13">
        <v>36892</v>
      </c>
    </row>
    <row r="99" spans="1:16" x14ac:dyDescent="0.25">
      <c r="A99" s="1" t="s">
        <v>121</v>
      </c>
      <c r="B99" s="7" t="str">
        <f>CONCATENATE("CNSARG",TEXT(consArgamassa[[#This Row],[Ordem]],"00000"))</f>
        <v>CNSARG00097</v>
      </c>
      <c r="C99" s="7">
        <v>97</v>
      </c>
      <c r="D99" s="10">
        <f>VLOOKUP(consArgamassa[[#This Row],[RecebID]],recebArgamassa[[RecebID]:[Insumo]],3,FALSE)</f>
        <v>44197</v>
      </c>
      <c r="E99" s="7" t="str">
        <f>VLOOKUP(consArgamassa[[#This Row],[RecebID]],recebArgamassa[[RecebID]:[Insumo]],4,FALSE)</f>
        <v>Argamassa Estabilizada</v>
      </c>
      <c r="F99" s="1" t="s">
        <v>264</v>
      </c>
      <c r="G99" s="1" t="s">
        <v>255</v>
      </c>
      <c r="H99" s="1">
        <v>10</v>
      </c>
      <c r="I99" s="1" t="s">
        <v>9</v>
      </c>
      <c r="K99" s="2">
        <v>4</v>
      </c>
      <c r="L99" s="23">
        <f>IFERROR(VLOOKUP(consArgamassa[[#This Row],[Serviço]],Tabela4[],5,FALSE),"")</f>
        <v>1.3352499999999998</v>
      </c>
      <c r="M99" s="22">
        <f>VLOOKUP(consArgamassa[[#This Row],[RecebID]],recebArgamassa[],14,FALSE)</f>
        <v>464.75</v>
      </c>
      <c r="N99" s="22">
        <f>IFERROR(VLOOKUP(consArgamassa[[#This Row],[Serviço]],Tabela4[],6,FALSE),"")</f>
        <v>500</v>
      </c>
      <c r="O99" s="1" t="s">
        <v>274</v>
      </c>
      <c r="P99" s="13">
        <v>36892</v>
      </c>
    </row>
    <row r="100" spans="1:16" x14ac:dyDescent="0.25">
      <c r="A100" s="1" t="s">
        <v>122</v>
      </c>
      <c r="B100" s="7" t="str">
        <f>CONCATENATE("CNSARG",TEXT(consArgamassa[[#This Row],[Ordem]],"00000"))</f>
        <v>CNSARG00098</v>
      </c>
      <c r="C100" s="7">
        <v>98</v>
      </c>
      <c r="D100" s="10">
        <f>VLOOKUP(consArgamassa[[#This Row],[RecebID]],recebArgamassa[[RecebID]:[Insumo]],3,FALSE)</f>
        <v>44197</v>
      </c>
      <c r="E100" s="7" t="str">
        <f>VLOOKUP(consArgamassa[[#This Row],[RecebID]],recebArgamassa[[RecebID]:[Insumo]],4,FALSE)</f>
        <v>Argamassa Estabilizada</v>
      </c>
      <c r="F100" s="1" t="s">
        <v>248</v>
      </c>
      <c r="G100" s="1" t="s">
        <v>270</v>
      </c>
      <c r="H100" s="1">
        <v>6</v>
      </c>
      <c r="I100" s="1" t="s">
        <v>238</v>
      </c>
      <c r="J100" s="1" t="s">
        <v>238</v>
      </c>
      <c r="K100" s="2">
        <v>2</v>
      </c>
      <c r="L100" s="23">
        <f>IFERROR(VLOOKUP(consArgamassa[[#This Row],[Serviço]],Tabela4[],5,FALSE),"")</f>
        <v>1.98</v>
      </c>
      <c r="M100" s="22">
        <f>VLOOKUP(consArgamassa[[#This Row],[RecebID]],recebArgamassa[],14,FALSE)</f>
        <v>464.75</v>
      </c>
      <c r="N100" s="22">
        <f>IFERROR(VLOOKUP(consArgamassa[[#This Row],[Serviço]],Tabela4[],6,FALSE),"")</f>
        <v>500</v>
      </c>
      <c r="O100" s="1" t="s">
        <v>274</v>
      </c>
      <c r="P100" s="13">
        <v>36892</v>
      </c>
    </row>
    <row r="101" spans="1:16" x14ac:dyDescent="0.25">
      <c r="A101" s="1" t="s">
        <v>123</v>
      </c>
      <c r="B101" s="7" t="str">
        <f>CONCATENATE("CNSARG",TEXT(consArgamassa[[#This Row],[Ordem]],"00000"))</f>
        <v>CNSARG00099</v>
      </c>
      <c r="C101" s="7">
        <v>99</v>
      </c>
      <c r="D101" s="10">
        <f>VLOOKUP(consArgamassa[[#This Row],[RecebID]],recebArgamassa[[RecebID]:[Insumo]],3,FALSE)</f>
        <v>44197</v>
      </c>
      <c r="E101" s="7" t="str">
        <f>VLOOKUP(consArgamassa[[#This Row],[RecebID]],recebArgamassa[[RecebID]:[Insumo]],4,FALSE)</f>
        <v>Argamassa Estabilizada</v>
      </c>
      <c r="F101" s="1" t="s">
        <v>247</v>
      </c>
      <c r="G101" s="1" t="s">
        <v>255</v>
      </c>
      <c r="H101" s="1">
        <v>6</v>
      </c>
      <c r="I101" s="1" t="s">
        <v>9</v>
      </c>
      <c r="K101" s="2">
        <v>1</v>
      </c>
      <c r="L101" s="23">
        <f>IFERROR(VLOOKUP(consArgamassa[[#This Row],[Serviço]],Tabela4[],5,FALSE),"")</f>
        <v>0</v>
      </c>
      <c r="M101" s="22">
        <f>VLOOKUP(consArgamassa[[#This Row],[RecebID]],recebArgamassa[],14,FALSE)</f>
        <v>464.75</v>
      </c>
      <c r="N101" s="22">
        <f>IFERROR(VLOOKUP(consArgamassa[[#This Row],[Serviço]],Tabela4[],6,FALSE),"")</f>
        <v>500</v>
      </c>
      <c r="O101" s="1" t="s">
        <v>274</v>
      </c>
      <c r="P101" s="13">
        <v>36892</v>
      </c>
    </row>
    <row r="102" spans="1:16" x14ac:dyDescent="0.25">
      <c r="A102" s="1" t="s">
        <v>124</v>
      </c>
      <c r="B102" s="7" t="str">
        <f>CONCATENATE("CNSARG",TEXT(consArgamassa[[#This Row],[Ordem]],"00000"))</f>
        <v>CNSARG00100</v>
      </c>
      <c r="C102" s="7">
        <v>100</v>
      </c>
      <c r="D102" s="10">
        <f>VLOOKUP(consArgamassa[[#This Row],[RecebID]],recebArgamassa[[RecebID]:[Insumo]],3,FALSE)</f>
        <v>44971</v>
      </c>
      <c r="E102" s="7" t="str">
        <f>VLOOKUP(consArgamassa[[#This Row],[RecebID]],recebArgamassa[[RecebID]:[Insumo]],4,FALSE)</f>
        <v>Argamassa Estabilizada</v>
      </c>
      <c r="F102" s="1" t="s">
        <v>264</v>
      </c>
      <c r="G102" s="1" t="s">
        <v>255</v>
      </c>
      <c r="H102" s="1">
        <v>10</v>
      </c>
      <c r="I102" s="1" t="s">
        <v>8</v>
      </c>
      <c r="K102" s="2">
        <v>5</v>
      </c>
      <c r="L102" s="23">
        <f>IFERROR(VLOOKUP(consArgamassa[[#This Row],[Serviço]],Tabela4[],5,FALSE),"")</f>
        <v>1.3352499999999998</v>
      </c>
      <c r="M102" s="22">
        <f>VLOOKUP(consArgamassa[[#This Row],[RecebID]],recebArgamassa[],14,FALSE)</f>
        <v>464.75</v>
      </c>
      <c r="N102" s="22">
        <f>IFERROR(VLOOKUP(consArgamassa[[#This Row],[Serviço]],Tabela4[],6,FALSE),"")</f>
        <v>500</v>
      </c>
      <c r="O102" s="1" t="s">
        <v>274</v>
      </c>
      <c r="P102" s="13">
        <v>36892</v>
      </c>
    </row>
    <row r="103" spans="1:16" x14ac:dyDescent="0.25">
      <c r="A103" s="1" t="s">
        <v>125</v>
      </c>
      <c r="B103" s="7" t="str">
        <f>CONCATENATE("CNSARG",TEXT(consArgamassa[[#This Row],[Ordem]],"00000"))</f>
        <v>CNSARG00101</v>
      </c>
      <c r="C103" s="7">
        <v>101</v>
      </c>
      <c r="D103" s="10">
        <f>VLOOKUP(consArgamassa[[#This Row],[RecebID]],recebArgamassa[[RecebID]:[Insumo]],3,FALSE)</f>
        <v>44971</v>
      </c>
      <c r="E103" s="7" t="str">
        <f>VLOOKUP(consArgamassa[[#This Row],[RecebID]],recebArgamassa[[RecebID]:[Insumo]],4,FALSE)</f>
        <v>Argamassa Estabilizada</v>
      </c>
      <c r="F103" s="1" t="s">
        <v>264</v>
      </c>
      <c r="G103" s="1" t="s">
        <v>256</v>
      </c>
      <c r="H103" s="1">
        <v>7</v>
      </c>
      <c r="I103" s="1" t="s">
        <v>9</v>
      </c>
      <c r="K103" s="2">
        <v>1</v>
      </c>
      <c r="L103" s="23">
        <f>IFERROR(VLOOKUP(consArgamassa[[#This Row],[Serviço]],Tabela4[],5,FALSE),"")</f>
        <v>1.3352499999999998</v>
      </c>
      <c r="M103" s="22">
        <f>VLOOKUP(consArgamassa[[#This Row],[RecebID]],recebArgamassa[],14,FALSE)</f>
        <v>464.75</v>
      </c>
      <c r="N103" s="22">
        <f>IFERROR(VLOOKUP(consArgamassa[[#This Row],[Serviço]],Tabela4[],6,FALSE),"")</f>
        <v>500</v>
      </c>
      <c r="O103" s="1" t="s">
        <v>274</v>
      </c>
      <c r="P103" s="13">
        <v>36892</v>
      </c>
    </row>
    <row r="104" spans="1:16" x14ac:dyDescent="0.25">
      <c r="A104" s="1" t="s">
        <v>126</v>
      </c>
      <c r="B104" s="7" t="str">
        <f>CONCATENATE("CNSARG",TEXT(consArgamassa[[#This Row],[Ordem]],"00000"))</f>
        <v>CNSARG00102</v>
      </c>
      <c r="C104" s="7">
        <v>102</v>
      </c>
      <c r="D104" s="10">
        <f>VLOOKUP(consArgamassa[[#This Row],[RecebID]],recebArgamassa[[RecebID]:[Insumo]],3,FALSE)</f>
        <v>44971</v>
      </c>
      <c r="E104" s="7" t="str">
        <f>VLOOKUP(consArgamassa[[#This Row],[RecebID]],recebArgamassa[[RecebID]:[Insumo]],4,FALSE)</f>
        <v>Argamassa Estabilizada</v>
      </c>
      <c r="F104" s="1" t="s">
        <v>264</v>
      </c>
      <c r="G104" s="1" t="s">
        <v>255</v>
      </c>
      <c r="H104" s="1">
        <v>8</v>
      </c>
      <c r="I104" s="1" t="s">
        <v>9</v>
      </c>
      <c r="K104" s="2">
        <v>1</v>
      </c>
      <c r="L104" s="23">
        <f>IFERROR(VLOOKUP(consArgamassa[[#This Row],[Serviço]],Tabela4[],5,FALSE),"")</f>
        <v>1.3352499999999998</v>
      </c>
      <c r="M104" s="22">
        <f>VLOOKUP(consArgamassa[[#This Row],[RecebID]],recebArgamassa[],14,FALSE)</f>
        <v>464.75</v>
      </c>
      <c r="N104" s="22">
        <f>IFERROR(VLOOKUP(consArgamassa[[#This Row],[Serviço]],Tabela4[],6,FALSE),"")</f>
        <v>500</v>
      </c>
      <c r="O104" s="1" t="s">
        <v>274</v>
      </c>
      <c r="P104" s="13">
        <v>36892</v>
      </c>
    </row>
    <row r="105" spans="1:16" x14ac:dyDescent="0.25">
      <c r="A105" s="1" t="s">
        <v>127</v>
      </c>
      <c r="B105" s="7" t="str">
        <f>CONCATENATE("CNSARG",TEXT(consArgamassa[[#This Row],[Ordem]],"00000"))</f>
        <v>CNSARG00103</v>
      </c>
      <c r="C105" s="7">
        <v>103</v>
      </c>
      <c r="D105" s="10">
        <f>VLOOKUP(consArgamassa[[#This Row],[RecebID]],recebArgamassa[[RecebID]:[Insumo]],3,FALSE)</f>
        <v>44972</v>
      </c>
      <c r="E105" s="7" t="str">
        <f>VLOOKUP(consArgamassa[[#This Row],[RecebID]],recebArgamassa[[RecebID]:[Insumo]],4,FALSE)</f>
        <v>Argamassa Estabilizada</v>
      </c>
      <c r="F105" s="1" t="s">
        <v>264</v>
      </c>
      <c r="G105" s="1" t="s">
        <v>255</v>
      </c>
      <c r="H105" s="1">
        <v>10</v>
      </c>
      <c r="I105" s="1" t="s">
        <v>8</v>
      </c>
      <c r="K105" s="2">
        <v>3</v>
      </c>
      <c r="L105" s="23">
        <f>IFERROR(VLOOKUP(consArgamassa[[#This Row],[Serviço]],Tabela4[],5,FALSE),"")</f>
        <v>1.3352499999999998</v>
      </c>
      <c r="M105" s="22">
        <f>VLOOKUP(consArgamassa[[#This Row],[RecebID]],recebArgamassa[],14,FALSE)</f>
        <v>464.75</v>
      </c>
      <c r="N105" s="22">
        <f>IFERROR(VLOOKUP(consArgamassa[[#This Row],[Serviço]],Tabela4[],6,FALSE),"")</f>
        <v>500</v>
      </c>
      <c r="O105" s="1" t="s">
        <v>274</v>
      </c>
      <c r="P105" s="13">
        <v>36892</v>
      </c>
    </row>
    <row r="106" spans="1:16" x14ac:dyDescent="0.25">
      <c r="A106" s="1" t="s">
        <v>128</v>
      </c>
      <c r="B106" s="7" t="str">
        <f>CONCATENATE("CNSARG",TEXT(consArgamassa[[#This Row],[Ordem]],"00000"))</f>
        <v>CNSARG00104</v>
      </c>
      <c r="C106" s="7">
        <v>104</v>
      </c>
      <c r="D106" s="10">
        <f>VLOOKUP(consArgamassa[[#This Row],[RecebID]],recebArgamassa[[RecebID]:[Insumo]],3,FALSE)</f>
        <v>44972</v>
      </c>
      <c r="E106" s="7" t="str">
        <f>VLOOKUP(consArgamassa[[#This Row],[RecebID]],recebArgamassa[[RecebID]:[Insumo]],4,FALSE)</f>
        <v>Argamassa Estabilizada</v>
      </c>
      <c r="F106" s="1" t="s">
        <v>249</v>
      </c>
      <c r="G106" s="1" t="s">
        <v>270</v>
      </c>
      <c r="H106" s="1" t="s">
        <v>297</v>
      </c>
      <c r="I106" s="1" t="s">
        <v>10</v>
      </c>
      <c r="J106" s="1" t="s">
        <v>23</v>
      </c>
      <c r="K106" s="2">
        <v>1</v>
      </c>
      <c r="L106" s="23">
        <f>IFERROR(VLOOKUP(consArgamassa[[#This Row],[Serviço]],Tabela4[],5,FALSE),"")</f>
        <v>0.125</v>
      </c>
      <c r="M106" s="22">
        <f>VLOOKUP(consArgamassa[[#This Row],[RecebID]],recebArgamassa[],14,FALSE)</f>
        <v>464.75</v>
      </c>
      <c r="N106" s="22">
        <f>IFERROR(VLOOKUP(consArgamassa[[#This Row],[Serviço]],Tabela4[],6,FALSE),"")</f>
        <v>500</v>
      </c>
      <c r="O106" s="1" t="s">
        <v>274</v>
      </c>
      <c r="P106" s="13">
        <v>36892</v>
      </c>
    </row>
    <row r="107" spans="1:16" x14ac:dyDescent="0.25">
      <c r="A107" s="1" t="s">
        <v>129</v>
      </c>
      <c r="B107" s="7" t="str">
        <f>CONCATENATE("CNSARG",TEXT(consArgamassa[[#This Row],[Ordem]],"00000"))</f>
        <v>CNSARG00105</v>
      </c>
      <c r="C107" s="7">
        <v>105</v>
      </c>
      <c r="D107" s="10">
        <f>VLOOKUP(consArgamassa[[#This Row],[RecebID]],recebArgamassa[[RecebID]:[Insumo]],3,FALSE)</f>
        <v>44972</v>
      </c>
      <c r="E107" s="7" t="str">
        <f>VLOOKUP(consArgamassa[[#This Row],[RecebID]],recebArgamassa[[RecebID]:[Insumo]],4,FALSE)</f>
        <v>Argamassa Estabilizada</v>
      </c>
      <c r="F107" s="1" t="s">
        <v>264</v>
      </c>
      <c r="G107" s="1" t="s">
        <v>256</v>
      </c>
      <c r="H107" s="1">
        <v>7</v>
      </c>
      <c r="I107" s="1" t="s">
        <v>9</v>
      </c>
      <c r="K107" s="2">
        <v>0.5</v>
      </c>
      <c r="L107" s="23">
        <f>IFERROR(VLOOKUP(consArgamassa[[#This Row],[Serviço]],Tabela4[],5,FALSE),"")</f>
        <v>1.3352499999999998</v>
      </c>
      <c r="M107" s="22">
        <f>VLOOKUP(consArgamassa[[#This Row],[RecebID]],recebArgamassa[],14,FALSE)</f>
        <v>464.75</v>
      </c>
      <c r="N107" s="22">
        <f>IFERROR(VLOOKUP(consArgamassa[[#This Row],[Serviço]],Tabela4[],6,FALSE),"")</f>
        <v>500</v>
      </c>
      <c r="O107" s="1" t="s">
        <v>274</v>
      </c>
      <c r="P107" s="13">
        <v>36892</v>
      </c>
    </row>
    <row r="108" spans="1:16" x14ac:dyDescent="0.25">
      <c r="A108" s="1" t="s">
        <v>130</v>
      </c>
      <c r="B108" s="7" t="str">
        <f>CONCATENATE("CNSARG",TEXT(consArgamassa[[#This Row],[Ordem]],"00000"))</f>
        <v>CNSARG00106</v>
      </c>
      <c r="C108" s="7">
        <v>106</v>
      </c>
      <c r="D108" s="10">
        <f>VLOOKUP(consArgamassa[[#This Row],[RecebID]],recebArgamassa[[RecebID]:[Insumo]],3,FALSE)</f>
        <v>44972</v>
      </c>
      <c r="E108" s="7" t="str">
        <f>VLOOKUP(consArgamassa[[#This Row],[RecebID]],recebArgamassa[[RecebID]:[Insumo]],4,FALSE)</f>
        <v>Argamassa Estabilizada</v>
      </c>
      <c r="F108" s="1" t="s">
        <v>264</v>
      </c>
      <c r="G108" s="1" t="s">
        <v>255</v>
      </c>
      <c r="H108" s="1">
        <v>8</v>
      </c>
      <c r="I108" s="1" t="s">
        <v>9</v>
      </c>
      <c r="K108" s="2">
        <v>0.5</v>
      </c>
      <c r="L108" s="23">
        <f>IFERROR(VLOOKUP(consArgamassa[[#This Row],[Serviço]],Tabela4[],5,FALSE),"")</f>
        <v>1.3352499999999998</v>
      </c>
      <c r="M108" s="22">
        <f>VLOOKUP(consArgamassa[[#This Row],[RecebID]],recebArgamassa[],14,FALSE)</f>
        <v>464.75</v>
      </c>
      <c r="N108" s="22">
        <f>IFERROR(VLOOKUP(consArgamassa[[#This Row],[Serviço]],Tabela4[],6,FALSE),"")</f>
        <v>500</v>
      </c>
      <c r="O108" s="1" t="s">
        <v>274</v>
      </c>
      <c r="P108" s="13">
        <v>36892</v>
      </c>
    </row>
    <row r="109" spans="1:16" x14ac:dyDescent="0.25">
      <c r="A109" s="1" t="s">
        <v>131</v>
      </c>
      <c r="B109" s="7" t="str">
        <f>CONCATENATE("CNSARG",TEXT(consArgamassa[[#This Row],[Ordem]],"00000"))</f>
        <v>CNSARG00107</v>
      </c>
      <c r="C109" s="7">
        <v>107</v>
      </c>
      <c r="D109" s="10">
        <f>VLOOKUP(consArgamassa[[#This Row],[RecebID]],recebArgamassa[[RecebID]:[Insumo]],3,FALSE)</f>
        <v>44973</v>
      </c>
      <c r="E109" s="7" t="str">
        <f>VLOOKUP(consArgamassa[[#This Row],[RecebID]],recebArgamassa[[RecebID]:[Insumo]],4,FALSE)</f>
        <v>Argamassa Estabilizada</v>
      </c>
      <c r="F109" s="1" t="s">
        <v>264</v>
      </c>
      <c r="G109" s="1" t="s">
        <v>255</v>
      </c>
      <c r="H109" s="1">
        <v>10</v>
      </c>
      <c r="I109" s="1" t="s">
        <v>7</v>
      </c>
      <c r="K109" s="2">
        <v>6</v>
      </c>
      <c r="L109" s="23">
        <f>IFERROR(VLOOKUP(consArgamassa[[#This Row],[Serviço]],Tabela4[],5,FALSE),"")</f>
        <v>1.3352499999999998</v>
      </c>
      <c r="M109" s="22">
        <f>VLOOKUP(consArgamassa[[#This Row],[RecebID]],recebArgamassa[],14,FALSE)</f>
        <v>464.75</v>
      </c>
      <c r="N109" s="22">
        <f>IFERROR(VLOOKUP(consArgamassa[[#This Row],[Serviço]],Tabela4[],6,FALSE),"")</f>
        <v>500</v>
      </c>
      <c r="O109" s="1" t="s">
        <v>274</v>
      </c>
      <c r="P109" s="13">
        <v>36892</v>
      </c>
    </row>
    <row r="110" spans="1:16" x14ac:dyDescent="0.25">
      <c r="A110" s="1" t="s">
        <v>132</v>
      </c>
      <c r="B110" s="7" t="str">
        <f>CONCATENATE("CNSARG",TEXT(consArgamassa[[#This Row],[Ordem]],"00000"))</f>
        <v>CNSARG00108</v>
      </c>
      <c r="C110" s="7">
        <v>108</v>
      </c>
      <c r="D110" s="10">
        <f>VLOOKUP(consArgamassa[[#This Row],[RecebID]],recebArgamassa[[RecebID]:[Insumo]],3,FALSE)</f>
        <v>44973</v>
      </c>
      <c r="E110" s="7" t="str">
        <f>VLOOKUP(consArgamassa[[#This Row],[RecebID]],recebArgamassa[[RecebID]:[Insumo]],4,FALSE)</f>
        <v>Argamassa Estabilizada</v>
      </c>
      <c r="F110" s="1" t="s">
        <v>249</v>
      </c>
      <c r="G110" s="1" t="s">
        <v>270</v>
      </c>
      <c r="H110" s="1" t="s">
        <v>297</v>
      </c>
      <c r="I110" s="1" t="s">
        <v>10</v>
      </c>
      <c r="J110" s="1" t="s">
        <v>23</v>
      </c>
      <c r="K110" s="2">
        <v>1</v>
      </c>
      <c r="L110" s="23">
        <f>IFERROR(VLOOKUP(consArgamassa[[#This Row],[Serviço]],Tabela4[],5,FALSE),"")</f>
        <v>0.125</v>
      </c>
      <c r="M110" s="22">
        <f>VLOOKUP(consArgamassa[[#This Row],[RecebID]],recebArgamassa[],14,FALSE)</f>
        <v>464.75</v>
      </c>
      <c r="N110" s="22">
        <f>IFERROR(VLOOKUP(consArgamassa[[#This Row],[Serviço]],Tabela4[],6,FALSE),"")</f>
        <v>500</v>
      </c>
      <c r="O110" s="1" t="s">
        <v>274</v>
      </c>
      <c r="P110" s="13">
        <v>36892</v>
      </c>
    </row>
    <row r="111" spans="1:16" x14ac:dyDescent="0.25">
      <c r="A111" s="1" t="s">
        <v>133</v>
      </c>
      <c r="B111" s="7" t="str">
        <f>CONCATENATE("CNSARG",TEXT(consArgamassa[[#This Row],[Ordem]],"00000"))</f>
        <v>CNSARG00109</v>
      </c>
      <c r="C111" s="7">
        <v>109</v>
      </c>
      <c r="D111" s="10">
        <f>VLOOKUP(consArgamassa[[#This Row],[RecebID]],recebArgamassa[[RecebID]:[Insumo]],3,FALSE)</f>
        <v>44973</v>
      </c>
      <c r="E111" s="7" t="str">
        <f>VLOOKUP(consArgamassa[[#This Row],[RecebID]],recebArgamassa[[RecebID]:[Insumo]],4,FALSE)</f>
        <v>Argamassa Estabilizada</v>
      </c>
      <c r="F111" s="1" t="s">
        <v>264</v>
      </c>
      <c r="G111" s="1" t="s">
        <v>255</v>
      </c>
      <c r="H111" s="1">
        <v>10</v>
      </c>
      <c r="I111" s="1" t="s">
        <v>7</v>
      </c>
      <c r="K111" s="2">
        <v>2</v>
      </c>
      <c r="L111" s="23">
        <f>IFERROR(VLOOKUP(consArgamassa[[#This Row],[Serviço]],Tabela4[],5,FALSE),"")</f>
        <v>1.3352499999999998</v>
      </c>
      <c r="M111" s="22">
        <f>VLOOKUP(consArgamassa[[#This Row],[RecebID]],recebArgamassa[],14,FALSE)</f>
        <v>464.75</v>
      </c>
      <c r="N111" s="22">
        <f>IFERROR(VLOOKUP(consArgamassa[[#This Row],[Serviço]],Tabela4[],6,FALSE),"")</f>
        <v>500</v>
      </c>
      <c r="O111" s="1" t="s">
        <v>274</v>
      </c>
      <c r="P111" s="13">
        <v>36892</v>
      </c>
    </row>
    <row r="112" spans="1:16" x14ac:dyDescent="0.25">
      <c r="A112" s="1" t="s">
        <v>134</v>
      </c>
      <c r="B112" s="7" t="str">
        <f>CONCATENATE("CNSARG",TEXT(consArgamassa[[#This Row],[Ordem]],"00000"))</f>
        <v>CNSARG00110</v>
      </c>
      <c r="C112" s="7">
        <v>110</v>
      </c>
      <c r="D112" s="10">
        <f>VLOOKUP(consArgamassa[[#This Row],[RecebID]],recebArgamassa[[RecebID]:[Insumo]],3,FALSE)</f>
        <v>44973</v>
      </c>
      <c r="E112" s="7" t="str">
        <f>VLOOKUP(consArgamassa[[#This Row],[RecebID]],recebArgamassa[[RecebID]:[Insumo]],4,FALSE)</f>
        <v>Argamassa Estabilizada</v>
      </c>
      <c r="F112" s="1" t="s">
        <v>264</v>
      </c>
      <c r="G112" s="1" t="s">
        <v>255</v>
      </c>
      <c r="H112" s="1">
        <v>10</v>
      </c>
      <c r="I112" s="1" t="s">
        <v>10</v>
      </c>
      <c r="K112" s="2">
        <v>2</v>
      </c>
      <c r="L112" s="23">
        <f>IFERROR(VLOOKUP(consArgamassa[[#This Row],[Serviço]],Tabela4[],5,FALSE),"")</f>
        <v>1.3352499999999998</v>
      </c>
      <c r="M112" s="22">
        <f>VLOOKUP(consArgamassa[[#This Row],[RecebID]],recebArgamassa[],14,FALSE)</f>
        <v>464.75</v>
      </c>
      <c r="N112" s="22">
        <f>IFERROR(VLOOKUP(consArgamassa[[#This Row],[Serviço]],Tabela4[],6,FALSE),"")</f>
        <v>500</v>
      </c>
      <c r="O112" s="1" t="s">
        <v>274</v>
      </c>
      <c r="P112" s="13">
        <v>36892</v>
      </c>
    </row>
    <row r="113" spans="1:16" x14ac:dyDescent="0.25">
      <c r="A113" s="1" t="s">
        <v>135</v>
      </c>
      <c r="B113" s="7" t="str">
        <f>CONCATENATE("CNSARG",TEXT(consArgamassa[[#This Row],[Ordem]],"00000"))</f>
        <v>CNSARG00111</v>
      </c>
      <c r="C113" s="7">
        <v>111</v>
      </c>
      <c r="D113" s="10">
        <f>VLOOKUP(consArgamassa[[#This Row],[RecebID]],recebArgamassa[[RecebID]:[Insumo]],3,FALSE)</f>
        <v>44973</v>
      </c>
      <c r="E113" s="7" t="str">
        <f>VLOOKUP(consArgamassa[[#This Row],[RecebID]],recebArgamassa[[RecebID]:[Insumo]],4,FALSE)</f>
        <v>Argamassa Estabilizada</v>
      </c>
      <c r="F113" s="1" t="s">
        <v>249</v>
      </c>
      <c r="G113" s="1" t="s">
        <v>270</v>
      </c>
      <c r="H113" s="1" t="s">
        <v>297</v>
      </c>
      <c r="I113" s="1" t="s">
        <v>10</v>
      </c>
      <c r="J113" s="1" t="s">
        <v>23</v>
      </c>
      <c r="K113" s="2">
        <v>1</v>
      </c>
      <c r="L113" s="23">
        <f>IFERROR(VLOOKUP(consArgamassa[[#This Row],[Serviço]],Tabela4[],5,FALSE),"")</f>
        <v>0.125</v>
      </c>
      <c r="M113" s="22">
        <f>VLOOKUP(consArgamassa[[#This Row],[RecebID]],recebArgamassa[],14,FALSE)</f>
        <v>464.75</v>
      </c>
      <c r="N113" s="22">
        <f>IFERROR(VLOOKUP(consArgamassa[[#This Row],[Serviço]],Tabela4[],6,FALSE),"")</f>
        <v>500</v>
      </c>
      <c r="O113" s="1" t="s">
        <v>274</v>
      </c>
      <c r="P113" s="13">
        <v>36892</v>
      </c>
    </row>
    <row r="114" spans="1:16" x14ac:dyDescent="0.25">
      <c r="A114" s="1" t="s">
        <v>136</v>
      </c>
      <c r="B114" s="7" t="str">
        <f>CONCATENATE("CNSARG",TEXT(consArgamassa[[#This Row],[Ordem]],"00000"))</f>
        <v>CNSARG00112</v>
      </c>
      <c r="C114" s="7">
        <v>112</v>
      </c>
      <c r="D114" s="10">
        <f>VLOOKUP(consArgamassa[[#This Row],[RecebID]],recebArgamassa[[RecebID]:[Insumo]],3,FALSE)</f>
        <v>44980</v>
      </c>
      <c r="E114" s="7" t="str">
        <f>VLOOKUP(consArgamassa[[#This Row],[RecebID]],recebArgamassa[[RecebID]:[Insumo]],4,FALSE)</f>
        <v>Argamassa Estabilizada</v>
      </c>
      <c r="F114" s="1" t="s">
        <v>264</v>
      </c>
      <c r="G114" s="1" t="s">
        <v>255</v>
      </c>
      <c r="H114" s="1">
        <v>10</v>
      </c>
      <c r="I114" s="1" t="s">
        <v>10</v>
      </c>
      <c r="K114" s="2">
        <v>3</v>
      </c>
      <c r="L114" s="23">
        <f>IFERROR(VLOOKUP(consArgamassa[[#This Row],[Serviço]],Tabela4[],5,FALSE),"")</f>
        <v>1.3352499999999998</v>
      </c>
      <c r="M114" s="22">
        <f>VLOOKUP(consArgamassa[[#This Row],[RecebID]],recebArgamassa[],14,FALSE)</f>
        <v>464.75</v>
      </c>
      <c r="N114" s="22">
        <f>IFERROR(VLOOKUP(consArgamassa[[#This Row],[Serviço]],Tabela4[],6,FALSE),"")</f>
        <v>500</v>
      </c>
      <c r="O114" s="1" t="s">
        <v>274</v>
      </c>
      <c r="P114" s="13">
        <v>36892</v>
      </c>
    </row>
    <row r="115" spans="1:16" x14ac:dyDescent="0.25">
      <c r="A115" s="1" t="s">
        <v>137</v>
      </c>
      <c r="B115" s="7" t="str">
        <f>CONCATENATE("CNSARG",TEXT(consArgamassa[[#This Row],[Ordem]],"00000"))</f>
        <v>CNSARG00113</v>
      </c>
      <c r="C115" s="7">
        <v>113</v>
      </c>
      <c r="D115" s="10">
        <f>VLOOKUP(consArgamassa[[#This Row],[RecebID]],recebArgamassa[[RecebID]:[Insumo]],3,FALSE)</f>
        <v>44980</v>
      </c>
      <c r="E115" s="7" t="str">
        <f>VLOOKUP(consArgamassa[[#This Row],[RecebID]],recebArgamassa[[RecebID]:[Insumo]],4,FALSE)</f>
        <v>Argamassa Estabilizada</v>
      </c>
      <c r="F115" s="1" t="s">
        <v>247</v>
      </c>
      <c r="G115" s="1" t="s">
        <v>255</v>
      </c>
      <c r="H115" s="1">
        <v>6</v>
      </c>
      <c r="I115" s="1" t="s">
        <v>9</v>
      </c>
      <c r="K115" s="2">
        <v>2</v>
      </c>
      <c r="L115" s="23">
        <f>IFERROR(VLOOKUP(consArgamassa[[#This Row],[Serviço]],Tabela4[],5,FALSE),"")</f>
        <v>0</v>
      </c>
      <c r="M115" s="22">
        <f>VLOOKUP(consArgamassa[[#This Row],[RecebID]],recebArgamassa[],14,FALSE)</f>
        <v>464.75</v>
      </c>
      <c r="N115" s="22">
        <f>IFERROR(VLOOKUP(consArgamassa[[#This Row],[Serviço]],Tabela4[],6,FALSE),"")</f>
        <v>500</v>
      </c>
      <c r="O115" s="1" t="s">
        <v>274</v>
      </c>
      <c r="P115" s="13">
        <v>36892</v>
      </c>
    </row>
    <row r="116" spans="1:16" x14ac:dyDescent="0.25">
      <c r="A116" s="1" t="s">
        <v>138</v>
      </c>
      <c r="B116" s="7" t="str">
        <f>CONCATENATE("CNSARG",TEXT(consArgamassa[[#This Row],[Ordem]],"00000"))</f>
        <v>CNSARG00114</v>
      </c>
      <c r="C116" s="7">
        <v>114</v>
      </c>
      <c r="D116" s="10">
        <f>VLOOKUP(consArgamassa[[#This Row],[RecebID]],recebArgamassa[[RecebID]:[Insumo]],3,FALSE)</f>
        <v>44981</v>
      </c>
      <c r="E116" s="7" t="str">
        <f>VLOOKUP(consArgamassa[[#This Row],[RecebID]],recebArgamassa[[RecebID]:[Insumo]],4,FALSE)</f>
        <v>Argamassa Estabilizada</v>
      </c>
      <c r="F116" s="1" t="s">
        <v>249</v>
      </c>
      <c r="G116" s="1" t="s">
        <v>270</v>
      </c>
      <c r="H116" s="1" t="s">
        <v>297</v>
      </c>
      <c r="I116" s="1" t="s">
        <v>10</v>
      </c>
      <c r="J116" s="1" t="s">
        <v>23</v>
      </c>
      <c r="K116" s="2">
        <v>1</v>
      </c>
      <c r="L116" s="23">
        <f>IFERROR(VLOOKUP(consArgamassa[[#This Row],[Serviço]],Tabela4[],5,FALSE),"")</f>
        <v>0.125</v>
      </c>
      <c r="M116" s="22">
        <f>VLOOKUP(consArgamassa[[#This Row],[RecebID]],recebArgamassa[],14,FALSE)</f>
        <v>464.75</v>
      </c>
      <c r="N116" s="22">
        <f>IFERROR(VLOOKUP(consArgamassa[[#This Row],[Serviço]],Tabela4[],6,FALSE),"")</f>
        <v>500</v>
      </c>
      <c r="O116" s="1" t="s">
        <v>274</v>
      </c>
      <c r="P116" s="13">
        <v>36892</v>
      </c>
    </row>
    <row r="117" spans="1:16" x14ac:dyDescent="0.25">
      <c r="A117" s="1" t="s">
        <v>139</v>
      </c>
      <c r="B117" s="7" t="str">
        <f>CONCATENATE("CNSARG",TEXT(consArgamassa[[#This Row],[Ordem]],"00000"))</f>
        <v>CNSARG00115</v>
      </c>
      <c r="C117" s="7">
        <v>115</v>
      </c>
      <c r="D117" s="10">
        <f>VLOOKUP(consArgamassa[[#This Row],[RecebID]],recebArgamassa[[RecebID]:[Insumo]],3,FALSE)</f>
        <v>44981</v>
      </c>
      <c r="E117" s="7" t="str">
        <f>VLOOKUP(consArgamassa[[#This Row],[RecebID]],recebArgamassa[[RecebID]:[Insumo]],4,FALSE)</f>
        <v>Argamassa Estabilizada</v>
      </c>
      <c r="F117" s="1" t="s">
        <v>276</v>
      </c>
      <c r="G117" s="1" t="s">
        <v>270</v>
      </c>
      <c r="H117" s="1" t="s">
        <v>296</v>
      </c>
      <c r="I117" s="1" t="s">
        <v>10</v>
      </c>
      <c r="J117" s="1" t="s">
        <v>243</v>
      </c>
      <c r="K117" s="2">
        <v>1</v>
      </c>
      <c r="L117" s="23">
        <f>IFERROR(VLOOKUP(consArgamassa[[#This Row],[Serviço]],Tabela4[],5,FALSE),"")</f>
        <v>0.81818181818181823</v>
      </c>
      <c r="M117" s="22">
        <f>VLOOKUP(consArgamassa[[#This Row],[RecebID]],recebArgamassa[],14,FALSE)</f>
        <v>464.75</v>
      </c>
      <c r="N117" s="22">
        <f>IFERROR(VLOOKUP(consArgamassa[[#This Row],[Serviço]],Tabela4[],6,FALSE),"")</f>
        <v>500</v>
      </c>
      <c r="O117" s="1" t="s">
        <v>274</v>
      </c>
      <c r="P117" s="13">
        <v>36892</v>
      </c>
    </row>
    <row r="118" spans="1:16" x14ac:dyDescent="0.25">
      <c r="A118" s="1" t="s">
        <v>140</v>
      </c>
      <c r="B118" s="7" t="str">
        <f>CONCATENATE("CNSARG",TEXT(consArgamassa[[#This Row],[Ordem]],"00000"))</f>
        <v>CNSARG00116</v>
      </c>
      <c r="C118" s="7">
        <v>116</v>
      </c>
      <c r="D118" s="10">
        <f>VLOOKUP(consArgamassa[[#This Row],[RecebID]],recebArgamassa[[RecebID]:[Insumo]],3,FALSE)</f>
        <v>44981</v>
      </c>
      <c r="E118" s="7" t="str">
        <f>VLOOKUP(consArgamassa[[#This Row],[RecebID]],recebArgamassa[[RecebID]:[Insumo]],4,FALSE)</f>
        <v>Argamassa Estabilizada</v>
      </c>
      <c r="F118" s="1" t="s">
        <v>264</v>
      </c>
      <c r="G118" s="1" t="s">
        <v>256</v>
      </c>
      <c r="H118" s="1">
        <v>10</v>
      </c>
      <c r="I118" s="1" t="s">
        <v>9</v>
      </c>
      <c r="K118" s="2">
        <v>3</v>
      </c>
      <c r="L118" s="23">
        <f>IFERROR(VLOOKUP(consArgamassa[[#This Row],[Serviço]],Tabela4[],5,FALSE),"")</f>
        <v>1.3352499999999998</v>
      </c>
      <c r="M118" s="22">
        <f>VLOOKUP(consArgamassa[[#This Row],[RecebID]],recebArgamassa[],14,FALSE)</f>
        <v>464.75</v>
      </c>
      <c r="N118" s="22">
        <f>IFERROR(VLOOKUP(consArgamassa[[#This Row],[Serviço]],Tabela4[],6,FALSE),"")</f>
        <v>500</v>
      </c>
      <c r="O118" s="1" t="s">
        <v>274</v>
      </c>
      <c r="P118" s="13">
        <v>36892</v>
      </c>
    </row>
    <row r="119" spans="1:16" x14ac:dyDescent="0.25">
      <c r="A119" s="1" t="s">
        <v>141</v>
      </c>
      <c r="B119" s="7" t="str">
        <f>CONCATENATE("CNSARG",TEXT(consArgamassa[[#This Row],[Ordem]],"00000"))</f>
        <v>CNSARG00117</v>
      </c>
      <c r="C119" s="7">
        <v>117</v>
      </c>
      <c r="D119" s="10">
        <f>VLOOKUP(consArgamassa[[#This Row],[RecebID]],recebArgamassa[[RecebID]:[Insumo]],3,FALSE)</f>
        <v>44981</v>
      </c>
      <c r="E119" s="7" t="str">
        <f>VLOOKUP(consArgamassa[[#This Row],[RecebID]],recebArgamassa[[RecebID]:[Insumo]],4,FALSE)</f>
        <v>Argamassa Estabilizada</v>
      </c>
      <c r="F119" s="1" t="s">
        <v>247</v>
      </c>
      <c r="G119" s="1" t="s">
        <v>255</v>
      </c>
      <c r="H119" s="1">
        <v>6</v>
      </c>
      <c r="I119" s="1" t="s">
        <v>9</v>
      </c>
      <c r="K119" s="2">
        <v>2</v>
      </c>
      <c r="L119" s="23">
        <f>IFERROR(VLOOKUP(consArgamassa[[#This Row],[Serviço]],Tabela4[],5,FALSE),"")</f>
        <v>0</v>
      </c>
      <c r="M119" s="22">
        <f>VLOOKUP(consArgamassa[[#This Row],[RecebID]],recebArgamassa[],14,FALSE)</f>
        <v>464.75</v>
      </c>
      <c r="N119" s="22">
        <f>IFERROR(VLOOKUP(consArgamassa[[#This Row],[Serviço]],Tabela4[],6,FALSE),"")</f>
        <v>500</v>
      </c>
      <c r="O119" s="1" t="s">
        <v>274</v>
      </c>
      <c r="P119" s="13">
        <v>36892</v>
      </c>
    </row>
    <row r="120" spans="1:16" x14ac:dyDescent="0.25">
      <c r="A120" s="1" t="s">
        <v>142</v>
      </c>
      <c r="B120" s="7" t="str">
        <f>CONCATENATE("CNSARG",TEXT(consArgamassa[[#This Row],[Ordem]],"00000"))</f>
        <v>CNSARG00118</v>
      </c>
      <c r="C120" s="7">
        <v>118</v>
      </c>
      <c r="D120" s="10">
        <f>VLOOKUP(consArgamassa[[#This Row],[RecebID]],recebArgamassa[[RecebID]:[Insumo]],3,FALSE)</f>
        <v>44984</v>
      </c>
      <c r="E120" s="7" t="str">
        <f>VLOOKUP(consArgamassa[[#This Row],[RecebID]],recebArgamassa[[RecebID]:[Insumo]],4,FALSE)</f>
        <v>Argamassa Estabilizada</v>
      </c>
      <c r="F120" s="1" t="s">
        <v>264</v>
      </c>
      <c r="G120" s="1" t="s">
        <v>256</v>
      </c>
      <c r="H120" s="1">
        <v>10</v>
      </c>
      <c r="I120" s="1" t="s">
        <v>9</v>
      </c>
      <c r="K120" s="2">
        <v>2</v>
      </c>
      <c r="L120" s="23">
        <f>IFERROR(VLOOKUP(consArgamassa[[#This Row],[Serviço]],Tabela4[],5,FALSE),"")</f>
        <v>1.3352499999999998</v>
      </c>
      <c r="M120" s="22">
        <f>VLOOKUP(consArgamassa[[#This Row],[RecebID]],recebArgamassa[],14,FALSE)</f>
        <v>464.75</v>
      </c>
      <c r="N120" s="22">
        <f>IFERROR(VLOOKUP(consArgamassa[[#This Row],[Serviço]],Tabela4[],6,FALSE),"")</f>
        <v>500</v>
      </c>
      <c r="O120" s="1" t="s">
        <v>274</v>
      </c>
      <c r="P120" s="13">
        <v>36892</v>
      </c>
    </row>
    <row r="121" spans="1:16" x14ac:dyDescent="0.25">
      <c r="A121" s="1" t="s">
        <v>143</v>
      </c>
      <c r="B121" s="7" t="str">
        <f>CONCATENATE("CNSARG",TEXT(consArgamassa[[#This Row],[Ordem]],"00000"))</f>
        <v>CNSARG00119</v>
      </c>
      <c r="C121" s="7">
        <v>119</v>
      </c>
      <c r="D121" s="10">
        <f>VLOOKUP(consArgamassa[[#This Row],[RecebID]],recebArgamassa[[RecebID]:[Insumo]],3,FALSE)</f>
        <v>44984</v>
      </c>
      <c r="E121" s="7" t="str">
        <f>VLOOKUP(consArgamassa[[#This Row],[RecebID]],recebArgamassa[[RecebID]:[Insumo]],4,FALSE)</f>
        <v>Argamassa Estabilizada</v>
      </c>
      <c r="F121" s="1" t="s">
        <v>247</v>
      </c>
      <c r="G121" s="1" t="s">
        <v>255</v>
      </c>
      <c r="H121" s="1">
        <v>6</v>
      </c>
      <c r="I121" s="1" t="s">
        <v>8</v>
      </c>
      <c r="K121" s="2">
        <v>3</v>
      </c>
      <c r="L121" s="23">
        <f>IFERROR(VLOOKUP(consArgamassa[[#This Row],[Serviço]],Tabela4[],5,FALSE),"")</f>
        <v>0</v>
      </c>
      <c r="M121" s="22">
        <f>VLOOKUP(consArgamassa[[#This Row],[RecebID]],recebArgamassa[],14,FALSE)</f>
        <v>464.75</v>
      </c>
      <c r="N121" s="22">
        <f>IFERROR(VLOOKUP(consArgamassa[[#This Row],[Serviço]],Tabela4[],6,FALSE),"")</f>
        <v>500</v>
      </c>
      <c r="O121" s="1" t="s">
        <v>274</v>
      </c>
      <c r="P121" s="13">
        <v>36892</v>
      </c>
    </row>
    <row r="122" spans="1:16" x14ac:dyDescent="0.25">
      <c r="A122" s="1" t="s">
        <v>144</v>
      </c>
      <c r="B122" s="7" t="str">
        <f>CONCATENATE("CNSARG",TEXT(consArgamassa[[#This Row],[Ordem]],"00000"))</f>
        <v>CNSARG00120</v>
      </c>
      <c r="C122" s="7">
        <v>120</v>
      </c>
      <c r="D122" s="10">
        <f>VLOOKUP(consArgamassa[[#This Row],[RecebID]],recebArgamassa[[RecebID]:[Insumo]],3,FALSE)</f>
        <v>44984</v>
      </c>
      <c r="E122" s="7" t="str">
        <f>VLOOKUP(consArgamassa[[#This Row],[RecebID]],recebArgamassa[[RecebID]:[Insumo]],4,FALSE)</f>
        <v>Argamassa Estabilizada</v>
      </c>
      <c r="F122" s="1" t="s">
        <v>276</v>
      </c>
      <c r="G122" s="1" t="s">
        <v>270</v>
      </c>
      <c r="H122" s="1" t="s">
        <v>296</v>
      </c>
      <c r="I122" s="1" t="s">
        <v>10</v>
      </c>
      <c r="J122" s="1" t="s">
        <v>243</v>
      </c>
      <c r="K122" s="2">
        <v>1</v>
      </c>
      <c r="L122" s="23">
        <f>IFERROR(VLOOKUP(consArgamassa[[#This Row],[Serviço]],Tabela4[],5,FALSE),"")</f>
        <v>0.81818181818181823</v>
      </c>
      <c r="M122" s="22">
        <f>VLOOKUP(consArgamassa[[#This Row],[RecebID]],recebArgamassa[],14,FALSE)</f>
        <v>464.75</v>
      </c>
      <c r="N122" s="22">
        <f>IFERROR(VLOOKUP(consArgamassa[[#This Row],[Serviço]],Tabela4[],6,FALSE),"")</f>
        <v>500</v>
      </c>
      <c r="O122" s="1" t="s">
        <v>274</v>
      </c>
      <c r="P122" s="13">
        <v>36892</v>
      </c>
    </row>
    <row r="123" spans="1:16" x14ac:dyDescent="0.25">
      <c r="A123" s="1" t="s">
        <v>145</v>
      </c>
      <c r="B123" s="7" t="str">
        <f>CONCATENATE("CNSARG",TEXT(consArgamassa[[#This Row],[Ordem]],"00000"))</f>
        <v>CNSARG00121</v>
      </c>
      <c r="C123" s="7">
        <v>121</v>
      </c>
      <c r="D123" s="10">
        <f>VLOOKUP(consArgamassa[[#This Row],[RecebID]],recebArgamassa[[RecebID]:[Insumo]],3,FALSE)</f>
        <v>44984</v>
      </c>
      <c r="E123" s="7" t="str">
        <f>VLOOKUP(consArgamassa[[#This Row],[RecebID]],recebArgamassa[[RecebID]:[Insumo]],4,FALSE)</f>
        <v>Argamassa Estabilizada</v>
      </c>
      <c r="F123" s="1" t="s">
        <v>249</v>
      </c>
      <c r="G123" s="1" t="s">
        <v>270</v>
      </c>
      <c r="H123" s="1" t="s">
        <v>297</v>
      </c>
      <c r="I123" s="1" t="s">
        <v>10</v>
      </c>
      <c r="J123" s="1" t="s">
        <v>23</v>
      </c>
      <c r="K123" s="2">
        <v>1</v>
      </c>
      <c r="L123" s="23">
        <f>IFERROR(VLOOKUP(consArgamassa[[#This Row],[Serviço]],Tabela4[],5,FALSE),"")</f>
        <v>0.125</v>
      </c>
      <c r="M123" s="22">
        <f>VLOOKUP(consArgamassa[[#This Row],[RecebID]],recebArgamassa[],14,FALSE)</f>
        <v>464.75</v>
      </c>
      <c r="N123" s="22">
        <f>IFERROR(VLOOKUP(consArgamassa[[#This Row],[Serviço]],Tabela4[],6,FALSE),"")</f>
        <v>500</v>
      </c>
      <c r="O123" s="1" t="s">
        <v>274</v>
      </c>
      <c r="P123" s="13">
        <v>36892</v>
      </c>
    </row>
    <row r="124" spans="1:16" x14ac:dyDescent="0.25">
      <c r="A124" s="1" t="s">
        <v>146</v>
      </c>
      <c r="B124" s="7" t="str">
        <f>CONCATENATE("CNSARG",TEXT(consArgamassa[[#This Row],[Ordem]],"00000"))</f>
        <v>CNSARG00122</v>
      </c>
      <c r="C124" s="7">
        <v>122</v>
      </c>
      <c r="D124" s="10">
        <f>VLOOKUP(consArgamassa[[#This Row],[RecebID]],recebArgamassa[[RecebID]:[Insumo]],3,FALSE)</f>
        <v>44985</v>
      </c>
      <c r="E124" s="7" t="str">
        <f>VLOOKUP(consArgamassa[[#This Row],[RecebID]],recebArgamassa[[RecebID]:[Insumo]],4,FALSE)</f>
        <v>Argamassa Estabilizada</v>
      </c>
      <c r="F124" s="1" t="s">
        <v>276</v>
      </c>
      <c r="G124" s="1" t="s">
        <v>270</v>
      </c>
      <c r="H124" s="1" t="s">
        <v>296</v>
      </c>
      <c r="I124" s="1" t="s">
        <v>10</v>
      </c>
      <c r="J124" s="1" t="s">
        <v>243</v>
      </c>
      <c r="K124" s="2">
        <v>1</v>
      </c>
      <c r="L124" s="23">
        <f>IFERROR(VLOOKUP(consArgamassa[[#This Row],[Serviço]],Tabela4[],5,FALSE),"")</f>
        <v>0.81818181818181823</v>
      </c>
      <c r="M124" s="22">
        <f>VLOOKUP(consArgamassa[[#This Row],[RecebID]],recebArgamassa[],14,FALSE)</f>
        <v>464.75</v>
      </c>
      <c r="N124" s="22">
        <f>IFERROR(VLOOKUP(consArgamassa[[#This Row],[Serviço]],Tabela4[],6,FALSE),"")</f>
        <v>500</v>
      </c>
      <c r="O124" s="1" t="s">
        <v>274</v>
      </c>
      <c r="P124" s="13">
        <v>36892</v>
      </c>
    </row>
    <row r="125" spans="1:16" x14ac:dyDescent="0.25">
      <c r="A125" s="1" t="s">
        <v>147</v>
      </c>
      <c r="B125" s="7" t="str">
        <f>CONCATENATE("CNSARG",TEXT(consArgamassa[[#This Row],[Ordem]],"00000"))</f>
        <v>CNSARG00123</v>
      </c>
      <c r="C125" s="7">
        <v>123</v>
      </c>
      <c r="D125" s="10">
        <f>VLOOKUP(consArgamassa[[#This Row],[RecebID]],recebArgamassa[[RecebID]:[Insumo]],3,FALSE)</f>
        <v>44985</v>
      </c>
      <c r="E125" s="7" t="str">
        <f>VLOOKUP(consArgamassa[[#This Row],[RecebID]],recebArgamassa[[RecebID]:[Insumo]],4,FALSE)</f>
        <v>Argamassa Estabilizada</v>
      </c>
      <c r="F125" s="1" t="s">
        <v>247</v>
      </c>
      <c r="G125" s="1" t="s">
        <v>255</v>
      </c>
      <c r="H125" s="1">
        <v>6</v>
      </c>
      <c r="I125" s="1" t="s">
        <v>8</v>
      </c>
      <c r="K125" s="2">
        <v>1.5</v>
      </c>
      <c r="L125" s="23">
        <f>IFERROR(VLOOKUP(consArgamassa[[#This Row],[Serviço]],Tabela4[],5,FALSE),"")</f>
        <v>0</v>
      </c>
      <c r="M125" s="22">
        <f>VLOOKUP(consArgamassa[[#This Row],[RecebID]],recebArgamassa[],14,FALSE)</f>
        <v>464.75</v>
      </c>
      <c r="N125" s="22">
        <f>IFERROR(VLOOKUP(consArgamassa[[#This Row],[Serviço]],Tabela4[],6,FALSE),"")</f>
        <v>500</v>
      </c>
      <c r="O125" s="1" t="s">
        <v>274</v>
      </c>
      <c r="P125" s="13">
        <v>36892</v>
      </c>
    </row>
    <row r="126" spans="1:16" x14ac:dyDescent="0.25">
      <c r="A126" s="1" t="s">
        <v>148</v>
      </c>
      <c r="B126" s="7" t="str">
        <f>CONCATENATE("CNSARG",TEXT(consArgamassa[[#This Row],[Ordem]],"00000"))</f>
        <v>CNSARG00124</v>
      </c>
      <c r="C126" s="7">
        <v>124</v>
      </c>
      <c r="D126" s="10">
        <f>VLOOKUP(consArgamassa[[#This Row],[RecebID]],recebArgamassa[[RecebID]:[Insumo]],3,FALSE)</f>
        <v>44985</v>
      </c>
      <c r="E126" s="7" t="str">
        <f>VLOOKUP(consArgamassa[[#This Row],[RecebID]],recebArgamassa[[RecebID]:[Insumo]],4,FALSE)</f>
        <v>Argamassa Estabilizada</v>
      </c>
      <c r="F126" s="1" t="s">
        <v>264</v>
      </c>
      <c r="G126" s="1" t="s">
        <v>256</v>
      </c>
      <c r="H126" s="1">
        <v>10</v>
      </c>
      <c r="I126" s="1" t="s">
        <v>8</v>
      </c>
      <c r="K126" s="2">
        <v>3.5</v>
      </c>
      <c r="L126" s="23">
        <f>IFERROR(VLOOKUP(consArgamassa[[#This Row],[Serviço]],Tabela4[],5,FALSE),"")</f>
        <v>1.3352499999999998</v>
      </c>
      <c r="M126" s="22">
        <f>VLOOKUP(consArgamassa[[#This Row],[RecebID]],recebArgamassa[],14,FALSE)</f>
        <v>464.75</v>
      </c>
      <c r="N126" s="22">
        <f>IFERROR(VLOOKUP(consArgamassa[[#This Row],[Serviço]],Tabela4[],6,FALSE),"")</f>
        <v>500</v>
      </c>
      <c r="O126" s="1" t="s">
        <v>274</v>
      </c>
      <c r="P126" s="13">
        <v>36892</v>
      </c>
    </row>
    <row r="127" spans="1:16" x14ac:dyDescent="0.25">
      <c r="A127" s="1" t="s">
        <v>149</v>
      </c>
      <c r="B127" s="7" t="str">
        <f>CONCATENATE("CNSARG",TEXT(consArgamassa[[#This Row],[Ordem]],"00000"))</f>
        <v>CNSARG00125</v>
      </c>
      <c r="C127" s="7">
        <v>125</v>
      </c>
      <c r="D127" s="10">
        <f>VLOOKUP(consArgamassa[[#This Row],[RecebID]],recebArgamassa[[RecebID]:[Insumo]],3,FALSE)</f>
        <v>44985</v>
      </c>
      <c r="E127" s="7" t="str">
        <f>VLOOKUP(consArgamassa[[#This Row],[RecebID]],recebArgamassa[[RecebID]:[Insumo]],4,FALSE)</f>
        <v>Argamassa Estabilizada</v>
      </c>
      <c r="F127" s="1" t="s">
        <v>264</v>
      </c>
      <c r="G127" s="1" t="s">
        <v>256</v>
      </c>
      <c r="H127" s="1">
        <v>10</v>
      </c>
      <c r="I127" s="1" t="s">
        <v>8</v>
      </c>
      <c r="K127" s="2">
        <v>5</v>
      </c>
      <c r="L127" s="23">
        <f>IFERROR(VLOOKUP(consArgamassa[[#This Row],[Serviço]],Tabela4[],5,FALSE),"")</f>
        <v>1.3352499999999998</v>
      </c>
      <c r="M127" s="22">
        <f>VLOOKUP(consArgamassa[[#This Row],[RecebID]],recebArgamassa[],14,FALSE)</f>
        <v>464.75</v>
      </c>
      <c r="N127" s="22">
        <f>IFERROR(VLOOKUP(consArgamassa[[#This Row],[Serviço]],Tabela4[],6,FALSE),"")</f>
        <v>500</v>
      </c>
      <c r="O127" s="1" t="s">
        <v>274</v>
      </c>
      <c r="P127" s="13">
        <v>36892</v>
      </c>
    </row>
    <row r="128" spans="1:16" x14ac:dyDescent="0.25">
      <c r="A128" s="1" t="s">
        <v>150</v>
      </c>
      <c r="B128" s="7" t="str">
        <f>CONCATENATE("CNSARG",TEXT(consArgamassa[[#This Row],[Ordem]],"00000"))</f>
        <v>CNSARG00126</v>
      </c>
      <c r="C128" s="7">
        <v>126</v>
      </c>
      <c r="D128" s="10">
        <f>VLOOKUP(consArgamassa[[#This Row],[RecebID]],recebArgamassa[[RecebID]:[Insumo]],3,FALSE)</f>
        <v>44987</v>
      </c>
      <c r="E128" s="7" t="str">
        <f>VLOOKUP(consArgamassa[[#This Row],[RecebID]],recebArgamassa[[RecebID]:[Insumo]],4,FALSE)</f>
        <v>Argamassa Estabilizada</v>
      </c>
      <c r="F128" s="1" t="s">
        <v>264</v>
      </c>
      <c r="G128" s="1" t="s">
        <v>256</v>
      </c>
      <c r="H128" s="1">
        <v>10</v>
      </c>
      <c r="I128" s="1" t="s">
        <v>7</v>
      </c>
      <c r="K128" s="2">
        <v>4</v>
      </c>
      <c r="L128" s="23">
        <f>IFERROR(VLOOKUP(consArgamassa[[#This Row],[Serviço]],Tabela4[],5,FALSE),"")</f>
        <v>1.3352499999999998</v>
      </c>
      <c r="M128" s="22">
        <f>VLOOKUP(consArgamassa[[#This Row],[RecebID]],recebArgamassa[],14,FALSE)</f>
        <v>464.75</v>
      </c>
      <c r="N128" s="22">
        <f>IFERROR(VLOOKUP(consArgamassa[[#This Row],[Serviço]],Tabela4[],6,FALSE),"")</f>
        <v>500</v>
      </c>
      <c r="O128" s="1" t="s">
        <v>274</v>
      </c>
      <c r="P128" s="13">
        <v>36892</v>
      </c>
    </row>
    <row r="129" spans="1:16" x14ac:dyDescent="0.25">
      <c r="A129" s="1" t="s">
        <v>151</v>
      </c>
      <c r="B129" s="7" t="str">
        <f>CONCATENATE("CNSARG",TEXT(consArgamassa[[#This Row],[Ordem]],"00000"))</f>
        <v>CNSARG00127</v>
      </c>
      <c r="C129" s="7">
        <v>127</v>
      </c>
      <c r="D129" s="10">
        <f>VLOOKUP(consArgamassa[[#This Row],[RecebID]],recebArgamassa[[RecebID]:[Insumo]],3,FALSE)</f>
        <v>44987</v>
      </c>
      <c r="E129" s="7" t="str">
        <f>VLOOKUP(consArgamassa[[#This Row],[RecebID]],recebArgamassa[[RecebID]:[Insumo]],4,FALSE)</f>
        <v>Argamassa Estabilizada</v>
      </c>
      <c r="F129" s="1" t="s">
        <v>247</v>
      </c>
      <c r="G129" s="1" t="s">
        <v>255</v>
      </c>
      <c r="H129" s="1">
        <v>6</v>
      </c>
      <c r="I129" s="1" t="s">
        <v>7</v>
      </c>
      <c r="K129" s="2">
        <v>1</v>
      </c>
      <c r="L129" s="23">
        <f>IFERROR(VLOOKUP(consArgamassa[[#This Row],[Serviço]],Tabela4[],5,FALSE),"")</f>
        <v>0</v>
      </c>
      <c r="M129" s="22">
        <f>VLOOKUP(consArgamassa[[#This Row],[RecebID]],recebArgamassa[],14,FALSE)</f>
        <v>464.75</v>
      </c>
      <c r="N129" s="22">
        <f>IFERROR(VLOOKUP(consArgamassa[[#This Row],[Serviço]],Tabela4[],6,FALSE),"")</f>
        <v>500</v>
      </c>
      <c r="O129" s="1" t="s">
        <v>274</v>
      </c>
      <c r="P129" s="13">
        <v>36892</v>
      </c>
    </row>
    <row r="130" spans="1:16" x14ac:dyDescent="0.25">
      <c r="A130" s="1" t="s">
        <v>152</v>
      </c>
      <c r="B130" s="7" t="str">
        <f>CONCATENATE("CNSARG",TEXT(consArgamassa[[#This Row],[Ordem]],"00000"))</f>
        <v>CNSARG00128</v>
      </c>
      <c r="C130" s="7">
        <v>128</v>
      </c>
      <c r="D130" s="10">
        <f>VLOOKUP(consArgamassa[[#This Row],[RecebID]],recebArgamassa[[RecebID]:[Insumo]],3,FALSE)</f>
        <v>44987</v>
      </c>
      <c r="E130" s="7" t="str">
        <f>VLOOKUP(consArgamassa[[#This Row],[RecebID]],recebArgamassa[[RecebID]:[Insumo]],4,FALSE)</f>
        <v>Argamassa Estabilizada</v>
      </c>
      <c r="F130" s="1" t="s">
        <v>249</v>
      </c>
      <c r="G130" s="1" t="s">
        <v>270</v>
      </c>
      <c r="H130" s="1" t="s">
        <v>297</v>
      </c>
      <c r="I130" s="1" t="s">
        <v>10</v>
      </c>
      <c r="J130" s="1" t="s">
        <v>23</v>
      </c>
      <c r="K130" s="2">
        <v>1</v>
      </c>
      <c r="L130" s="23">
        <f>IFERROR(VLOOKUP(consArgamassa[[#This Row],[Serviço]],Tabela4[],5,FALSE),"")</f>
        <v>0.125</v>
      </c>
      <c r="M130" s="22">
        <f>VLOOKUP(consArgamassa[[#This Row],[RecebID]],recebArgamassa[],14,FALSE)</f>
        <v>464.75</v>
      </c>
      <c r="N130" s="22">
        <f>IFERROR(VLOOKUP(consArgamassa[[#This Row],[Serviço]],Tabela4[],6,FALSE),"")</f>
        <v>500</v>
      </c>
      <c r="O130" s="1" t="s">
        <v>274</v>
      </c>
      <c r="P130" s="13">
        <v>36892</v>
      </c>
    </row>
    <row r="131" spans="1:16" x14ac:dyDescent="0.25">
      <c r="A131" s="1" t="s">
        <v>153</v>
      </c>
      <c r="B131" s="7" t="str">
        <f>CONCATENATE("CNSARG",TEXT(consArgamassa[[#This Row],[Ordem]],"00000"))</f>
        <v>CNSARG00129</v>
      </c>
      <c r="C131" s="7">
        <v>129</v>
      </c>
      <c r="D131" s="10">
        <f>VLOOKUP(consArgamassa[[#This Row],[RecebID]],recebArgamassa[[RecebID]:[Insumo]],3,FALSE)</f>
        <v>44988</v>
      </c>
      <c r="E131" s="7" t="str">
        <f>VLOOKUP(consArgamassa[[#This Row],[RecebID]],recebArgamassa[[RecebID]:[Insumo]],4,FALSE)</f>
        <v>Argamassa Estabilizada</v>
      </c>
      <c r="F131" s="1" t="s">
        <v>264</v>
      </c>
      <c r="G131" s="1" t="s">
        <v>256</v>
      </c>
      <c r="H131" s="1">
        <v>10</v>
      </c>
      <c r="I131" s="1" t="s">
        <v>7</v>
      </c>
      <c r="K131" s="2">
        <v>4</v>
      </c>
      <c r="L131" s="23">
        <f>IFERROR(VLOOKUP(consArgamassa[[#This Row],[Serviço]],Tabela4[],5,FALSE),"")</f>
        <v>1.3352499999999998</v>
      </c>
      <c r="M131" s="22">
        <f>VLOOKUP(consArgamassa[[#This Row],[RecebID]],recebArgamassa[],14,FALSE)</f>
        <v>464.75</v>
      </c>
      <c r="N131" s="22">
        <f>IFERROR(VLOOKUP(consArgamassa[[#This Row],[Serviço]],Tabela4[],6,FALSE),"")</f>
        <v>500</v>
      </c>
      <c r="O131" s="1" t="s">
        <v>274</v>
      </c>
      <c r="P131" s="13">
        <v>36892</v>
      </c>
    </row>
    <row r="132" spans="1:16" x14ac:dyDescent="0.25">
      <c r="A132" s="1" t="s">
        <v>154</v>
      </c>
      <c r="B132" s="7" t="str">
        <f>CONCATENATE("CNSARG",TEXT(consArgamassa[[#This Row],[Ordem]],"00000"))</f>
        <v>CNSARG00130</v>
      </c>
      <c r="C132" s="7">
        <v>130</v>
      </c>
      <c r="D132" s="10">
        <f>VLOOKUP(consArgamassa[[#This Row],[RecebID]],recebArgamassa[[RecebID]:[Insumo]],3,FALSE)</f>
        <v>44988</v>
      </c>
      <c r="E132" s="7" t="str">
        <f>VLOOKUP(consArgamassa[[#This Row],[RecebID]],recebArgamassa[[RecebID]:[Insumo]],4,FALSE)</f>
        <v>Argamassa Estabilizada</v>
      </c>
      <c r="F132" s="1" t="s">
        <v>264</v>
      </c>
      <c r="G132" s="1" t="s">
        <v>255</v>
      </c>
      <c r="H132" s="1">
        <v>8</v>
      </c>
      <c r="I132" s="1" t="s">
        <v>9</v>
      </c>
      <c r="K132" s="2">
        <v>1</v>
      </c>
      <c r="L132" s="23">
        <f>IFERROR(VLOOKUP(consArgamassa[[#This Row],[Serviço]],Tabela4[],5,FALSE),"")</f>
        <v>1.3352499999999998</v>
      </c>
      <c r="M132" s="22">
        <f>VLOOKUP(consArgamassa[[#This Row],[RecebID]],recebArgamassa[],14,FALSE)</f>
        <v>464.75</v>
      </c>
      <c r="N132" s="22">
        <f>IFERROR(VLOOKUP(consArgamassa[[#This Row],[Serviço]],Tabela4[],6,FALSE),"")</f>
        <v>500</v>
      </c>
      <c r="O132" s="1" t="s">
        <v>274</v>
      </c>
      <c r="P132" s="13">
        <v>36892</v>
      </c>
    </row>
    <row r="133" spans="1:16" x14ac:dyDescent="0.25">
      <c r="A133" s="1" t="s">
        <v>155</v>
      </c>
      <c r="B133" s="7" t="str">
        <f>CONCATENATE("CNSARG",TEXT(consArgamassa[[#This Row],[Ordem]],"00000"))</f>
        <v>CNSARG00131</v>
      </c>
      <c r="C133" s="7">
        <v>131</v>
      </c>
      <c r="D133" s="10">
        <f>VLOOKUP(consArgamassa[[#This Row],[RecebID]],recebArgamassa[[RecebID]:[Insumo]],3,FALSE)</f>
        <v>44988</v>
      </c>
      <c r="E133" s="7" t="str">
        <f>VLOOKUP(consArgamassa[[#This Row],[RecebID]],recebArgamassa[[RecebID]:[Insumo]],4,FALSE)</f>
        <v>Argamassa Estabilizada</v>
      </c>
      <c r="F133" s="1" t="s">
        <v>247</v>
      </c>
      <c r="G133" s="1" t="s">
        <v>255</v>
      </c>
      <c r="H133" s="1">
        <v>6</v>
      </c>
      <c r="I133" s="1" t="s">
        <v>7</v>
      </c>
      <c r="K133" s="2">
        <v>1</v>
      </c>
      <c r="L133" s="23">
        <f>IFERROR(VLOOKUP(consArgamassa[[#This Row],[Serviço]],Tabela4[],5,FALSE),"")</f>
        <v>0</v>
      </c>
      <c r="M133" s="22">
        <f>VLOOKUP(consArgamassa[[#This Row],[RecebID]],recebArgamassa[],14,FALSE)</f>
        <v>464.75</v>
      </c>
      <c r="N133" s="22">
        <f>IFERROR(VLOOKUP(consArgamassa[[#This Row],[Serviço]],Tabela4[],6,FALSE),"")</f>
        <v>500</v>
      </c>
      <c r="O133" s="1" t="s">
        <v>274</v>
      </c>
      <c r="P133" s="13">
        <v>36892</v>
      </c>
    </row>
    <row r="134" spans="1:16" x14ac:dyDescent="0.25">
      <c r="A134" s="1" t="s">
        <v>156</v>
      </c>
      <c r="B134" s="7" t="str">
        <f>CONCATENATE("CNSARG",TEXT(consArgamassa[[#This Row],[Ordem]],"00000"))</f>
        <v>CNSARG00132</v>
      </c>
      <c r="C134" s="7">
        <v>132</v>
      </c>
      <c r="D134" s="10">
        <f>VLOOKUP(consArgamassa[[#This Row],[RecebID]],recebArgamassa[[RecebID]:[Insumo]],3,FALSE)</f>
        <v>44991</v>
      </c>
      <c r="E134" s="7" t="str">
        <f>VLOOKUP(consArgamassa[[#This Row],[RecebID]],recebArgamassa[[RecebID]:[Insumo]],4,FALSE)</f>
        <v>Argamassa Estabilizada</v>
      </c>
      <c r="F134" s="1" t="s">
        <v>264</v>
      </c>
      <c r="G134" s="1" t="s">
        <v>255</v>
      </c>
      <c r="H134" s="1">
        <v>9</v>
      </c>
      <c r="I134" s="1" t="s">
        <v>9</v>
      </c>
      <c r="K134" s="2">
        <v>1</v>
      </c>
      <c r="L134" s="23">
        <f>IFERROR(VLOOKUP(consArgamassa[[#This Row],[Serviço]],Tabela4[],5,FALSE),"")</f>
        <v>1.3352499999999998</v>
      </c>
      <c r="M134" s="22">
        <f>VLOOKUP(consArgamassa[[#This Row],[RecebID]],recebArgamassa[],14,FALSE)</f>
        <v>464.75</v>
      </c>
      <c r="N134" s="22">
        <f>IFERROR(VLOOKUP(consArgamassa[[#This Row],[Serviço]],Tabela4[],6,FALSE),"")</f>
        <v>500</v>
      </c>
      <c r="O134" s="1" t="s">
        <v>274</v>
      </c>
      <c r="P134" s="13">
        <v>36892</v>
      </c>
    </row>
    <row r="135" spans="1:16" x14ac:dyDescent="0.25">
      <c r="A135" s="1" t="s">
        <v>157</v>
      </c>
      <c r="B135" s="7" t="str">
        <f>CONCATENATE("CNSARG",TEXT(consArgamassa[[#This Row],[Ordem]],"00000"))</f>
        <v>CNSARG00133</v>
      </c>
      <c r="C135" s="7">
        <v>133</v>
      </c>
      <c r="D135" s="10">
        <f>VLOOKUP(consArgamassa[[#This Row],[RecebID]],recebArgamassa[[RecebID]:[Insumo]],3,FALSE)</f>
        <v>44991</v>
      </c>
      <c r="E135" s="7" t="str">
        <f>VLOOKUP(consArgamassa[[#This Row],[RecebID]],recebArgamassa[[RecebID]:[Insumo]],4,FALSE)</f>
        <v>Argamassa Estabilizada</v>
      </c>
      <c r="F135" s="1" t="s">
        <v>276</v>
      </c>
      <c r="G135" s="1" t="s">
        <v>270</v>
      </c>
      <c r="H135" s="1" t="s">
        <v>296</v>
      </c>
      <c r="I135" s="1" t="s">
        <v>10</v>
      </c>
      <c r="J135" s="1" t="s">
        <v>243</v>
      </c>
      <c r="K135" s="2">
        <v>0.5</v>
      </c>
      <c r="L135" s="23">
        <f>IFERROR(VLOOKUP(consArgamassa[[#This Row],[Serviço]],Tabela4[],5,FALSE),"")</f>
        <v>0.81818181818181823</v>
      </c>
      <c r="M135" s="22">
        <f>VLOOKUP(consArgamassa[[#This Row],[RecebID]],recebArgamassa[],14,FALSE)</f>
        <v>464.75</v>
      </c>
      <c r="N135" s="22">
        <f>IFERROR(VLOOKUP(consArgamassa[[#This Row],[Serviço]],Tabela4[],6,FALSE),"")</f>
        <v>500</v>
      </c>
      <c r="O135" s="1" t="s">
        <v>274</v>
      </c>
      <c r="P135" s="13">
        <v>36892</v>
      </c>
    </row>
    <row r="136" spans="1:16" x14ac:dyDescent="0.25">
      <c r="A136" s="1" t="s">
        <v>158</v>
      </c>
      <c r="B136" s="7" t="str">
        <f>CONCATENATE("CNSARG",TEXT(consArgamassa[[#This Row],[Ordem]],"00000"))</f>
        <v>CNSARG00134</v>
      </c>
      <c r="C136" s="7">
        <v>134</v>
      </c>
      <c r="D136" s="10">
        <f>VLOOKUP(consArgamassa[[#This Row],[RecebID]],recebArgamassa[[RecebID]:[Insumo]],3,FALSE)</f>
        <v>44991</v>
      </c>
      <c r="E136" s="7" t="str">
        <f>VLOOKUP(consArgamassa[[#This Row],[RecebID]],recebArgamassa[[RecebID]:[Insumo]],4,FALSE)</f>
        <v>Argamassa Estabilizada</v>
      </c>
      <c r="F136" s="1" t="s">
        <v>254</v>
      </c>
      <c r="G136" s="1" t="s">
        <v>270</v>
      </c>
      <c r="H136" s="1" t="s">
        <v>297</v>
      </c>
      <c r="I136" s="1" t="s">
        <v>10</v>
      </c>
      <c r="J136" s="1" t="s">
        <v>245</v>
      </c>
      <c r="K136" s="2">
        <v>1</v>
      </c>
      <c r="L136" s="23">
        <f>IFERROR(VLOOKUP(consArgamassa[[#This Row],[Serviço]],Tabela4[],5,FALSE),"")</f>
        <v>0</v>
      </c>
      <c r="M136" s="22">
        <f>VLOOKUP(consArgamassa[[#This Row],[RecebID]],recebArgamassa[],14,FALSE)</f>
        <v>464.75</v>
      </c>
      <c r="N136" s="22">
        <f>IFERROR(VLOOKUP(consArgamassa[[#This Row],[Serviço]],Tabela4[],6,FALSE),"")</f>
        <v>500</v>
      </c>
      <c r="O136" s="1" t="s">
        <v>274</v>
      </c>
      <c r="P136" s="13">
        <v>36892</v>
      </c>
    </row>
    <row r="137" spans="1:16" x14ac:dyDescent="0.25">
      <c r="A137" s="1" t="s">
        <v>159</v>
      </c>
      <c r="B137" s="7" t="str">
        <f>CONCATENATE("CNSARG",TEXT(consArgamassa[[#This Row],[Ordem]],"00000"))</f>
        <v>CNSARG00135</v>
      </c>
      <c r="C137" s="7">
        <v>135</v>
      </c>
      <c r="D137" s="10">
        <f>VLOOKUP(consArgamassa[[#This Row],[RecebID]],recebArgamassa[[RecebID]:[Insumo]],3,FALSE)</f>
        <v>44991</v>
      </c>
      <c r="E137" s="7" t="str">
        <f>VLOOKUP(consArgamassa[[#This Row],[RecebID]],recebArgamassa[[RecebID]:[Insumo]],4,FALSE)</f>
        <v>Argamassa Estabilizada</v>
      </c>
      <c r="F137" s="1" t="s">
        <v>264</v>
      </c>
      <c r="G137" s="1" t="s">
        <v>255</v>
      </c>
      <c r="H137" s="1">
        <v>3</v>
      </c>
      <c r="I137" s="1" t="s">
        <v>9</v>
      </c>
      <c r="K137" s="2">
        <v>1.5</v>
      </c>
      <c r="L137" s="23">
        <f>IFERROR(VLOOKUP(consArgamassa[[#This Row],[Serviço]],Tabela4[],5,FALSE),"")</f>
        <v>1.3352499999999998</v>
      </c>
      <c r="M137" s="22">
        <f>VLOOKUP(consArgamassa[[#This Row],[RecebID]],recebArgamassa[],14,FALSE)</f>
        <v>464.75</v>
      </c>
      <c r="N137" s="22">
        <f>IFERROR(VLOOKUP(consArgamassa[[#This Row],[Serviço]],Tabela4[],6,FALSE),"")</f>
        <v>500</v>
      </c>
      <c r="O137" s="1" t="s">
        <v>274</v>
      </c>
      <c r="P137" s="13">
        <v>36892</v>
      </c>
    </row>
    <row r="138" spans="1:16" x14ac:dyDescent="0.25">
      <c r="A138" s="1" t="s">
        <v>160</v>
      </c>
      <c r="B138" s="7" t="str">
        <f>CONCATENATE("CNSARG",TEXT(consArgamassa[[#This Row],[Ordem]],"00000"))</f>
        <v>CNSARG00136</v>
      </c>
      <c r="C138" s="7">
        <v>136</v>
      </c>
      <c r="D138" s="10">
        <f>VLOOKUP(consArgamassa[[#This Row],[RecebID]],recebArgamassa[[RecebID]:[Insumo]],3,FALSE)</f>
        <v>44991</v>
      </c>
      <c r="E138" s="7" t="str">
        <f>VLOOKUP(consArgamassa[[#This Row],[RecebID]],recebArgamassa[[RecebID]:[Insumo]],4,FALSE)</f>
        <v>Argamassa Estabilizada</v>
      </c>
      <c r="F138" s="1" t="s">
        <v>247</v>
      </c>
      <c r="G138" s="1" t="s">
        <v>255</v>
      </c>
      <c r="H138" s="1">
        <v>7</v>
      </c>
      <c r="I138" s="1" t="s">
        <v>7</v>
      </c>
      <c r="K138" s="2">
        <v>1</v>
      </c>
      <c r="L138" s="23">
        <f>IFERROR(VLOOKUP(consArgamassa[[#This Row],[Serviço]],Tabela4[],5,FALSE),"")</f>
        <v>0</v>
      </c>
      <c r="M138" s="22">
        <f>VLOOKUP(consArgamassa[[#This Row],[RecebID]],recebArgamassa[],14,FALSE)</f>
        <v>464.75</v>
      </c>
      <c r="N138" s="22">
        <f>IFERROR(VLOOKUP(consArgamassa[[#This Row],[Serviço]],Tabela4[],6,FALSE),"")</f>
        <v>500</v>
      </c>
      <c r="O138" s="1" t="s">
        <v>274</v>
      </c>
      <c r="P138" s="13">
        <v>36892</v>
      </c>
    </row>
    <row r="139" spans="1:16" x14ac:dyDescent="0.25">
      <c r="A139" s="1" t="s">
        <v>161</v>
      </c>
      <c r="B139" s="7" t="str">
        <f>CONCATENATE("CNSARG",TEXT(consArgamassa[[#This Row],[Ordem]],"00000"))</f>
        <v>CNSARG00137</v>
      </c>
      <c r="C139" s="7">
        <v>137</v>
      </c>
      <c r="D139" s="10">
        <f>VLOOKUP(consArgamassa[[#This Row],[RecebID]],recebArgamassa[[RecebID]:[Insumo]],3,FALSE)</f>
        <v>44991</v>
      </c>
      <c r="E139" s="7" t="str">
        <f>VLOOKUP(consArgamassa[[#This Row],[RecebID]],recebArgamassa[[RecebID]:[Insumo]],4,FALSE)</f>
        <v>Argamassa Estabilizada</v>
      </c>
      <c r="F139" s="1" t="s">
        <v>247</v>
      </c>
      <c r="G139" s="1" t="s">
        <v>255</v>
      </c>
      <c r="H139" s="1">
        <v>7</v>
      </c>
      <c r="I139" s="1" t="s">
        <v>10</v>
      </c>
      <c r="K139" s="2">
        <v>1</v>
      </c>
      <c r="L139" s="23">
        <f>IFERROR(VLOOKUP(consArgamassa[[#This Row],[Serviço]],Tabela4[],5,FALSE),"")</f>
        <v>0</v>
      </c>
      <c r="M139" s="22">
        <f>VLOOKUP(consArgamassa[[#This Row],[RecebID]],recebArgamassa[],14,FALSE)</f>
        <v>464.75</v>
      </c>
      <c r="N139" s="22">
        <f>IFERROR(VLOOKUP(consArgamassa[[#This Row],[Serviço]],Tabela4[],6,FALSE),"")</f>
        <v>500</v>
      </c>
      <c r="O139" s="1" t="s">
        <v>274</v>
      </c>
      <c r="P139" s="13">
        <v>36892</v>
      </c>
    </row>
    <row r="140" spans="1:16" x14ac:dyDescent="0.25">
      <c r="A140" s="1" t="s">
        <v>162</v>
      </c>
      <c r="B140" s="7" t="str">
        <f>CONCATENATE("CNSARG",TEXT(consArgamassa[[#This Row],[Ordem]],"00000"))</f>
        <v>CNSARG00138</v>
      </c>
      <c r="C140" s="7">
        <v>138</v>
      </c>
      <c r="D140" s="10">
        <f>VLOOKUP(consArgamassa[[#This Row],[RecebID]],recebArgamassa[[RecebID]:[Insumo]],3,FALSE)</f>
        <v>44992</v>
      </c>
      <c r="E140" s="7" t="str">
        <f>VLOOKUP(consArgamassa[[#This Row],[RecebID]],recebArgamassa[[RecebID]:[Insumo]],4,FALSE)</f>
        <v>Argamassa Estabilizada</v>
      </c>
      <c r="F140" s="1" t="s">
        <v>254</v>
      </c>
      <c r="G140" s="1" t="s">
        <v>270</v>
      </c>
      <c r="H140" s="1" t="s">
        <v>297</v>
      </c>
      <c r="I140" s="1" t="s">
        <v>10</v>
      </c>
      <c r="J140" s="1" t="s">
        <v>245</v>
      </c>
      <c r="K140" s="2">
        <v>1</v>
      </c>
      <c r="L140" s="23">
        <f>IFERROR(VLOOKUP(consArgamassa[[#This Row],[Serviço]],Tabela4[],5,FALSE),"")</f>
        <v>0</v>
      </c>
      <c r="M140" s="22">
        <f>VLOOKUP(consArgamassa[[#This Row],[RecebID]],recebArgamassa[],14,FALSE)</f>
        <v>464.75</v>
      </c>
      <c r="N140" s="22">
        <f>IFERROR(VLOOKUP(consArgamassa[[#This Row],[Serviço]],Tabela4[],6,FALSE),"")</f>
        <v>500</v>
      </c>
      <c r="O140" s="1" t="s">
        <v>274</v>
      </c>
      <c r="P140" s="13">
        <v>36892</v>
      </c>
    </row>
    <row r="141" spans="1:16" x14ac:dyDescent="0.25">
      <c r="A141" s="1" t="s">
        <v>163</v>
      </c>
      <c r="B141" s="7" t="str">
        <f>CONCATENATE("CNSARG",TEXT(consArgamassa[[#This Row],[Ordem]],"00000"))</f>
        <v>CNSARG00139</v>
      </c>
      <c r="C141" s="7">
        <v>139</v>
      </c>
      <c r="D141" s="10">
        <f>VLOOKUP(consArgamassa[[#This Row],[RecebID]],recebArgamassa[[RecebID]:[Insumo]],3,FALSE)</f>
        <v>44992</v>
      </c>
      <c r="E141" s="7" t="str">
        <f>VLOOKUP(consArgamassa[[#This Row],[RecebID]],recebArgamassa[[RecebID]:[Insumo]],4,FALSE)</f>
        <v>Argamassa Estabilizada</v>
      </c>
      <c r="F141" s="1" t="s">
        <v>264</v>
      </c>
      <c r="G141" s="1" t="s">
        <v>255</v>
      </c>
      <c r="H141" s="1">
        <v>3</v>
      </c>
      <c r="I141" s="1" t="s">
        <v>9</v>
      </c>
      <c r="K141" s="2">
        <v>2</v>
      </c>
      <c r="L141" s="23">
        <f>IFERROR(VLOOKUP(consArgamassa[[#This Row],[Serviço]],Tabela4[],5,FALSE),"")</f>
        <v>1.3352499999999998</v>
      </c>
      <c r="M141" s="22">
        <f>VLOOKUP(consArgamassa[[#This Row],[RecebID]],recebArgamassa[],14,FALSE)</f>
        <v>464.75</v>
      </c>
      <c r="N141" s="22">
        <f>IFERROR(VLOOKUP(consArgamassa[[#This Row],[Serviço]],Tabela4[],6,FALSE),"")</f>
        <v>500</v>
      </c>
      <c r="O141" s="1" t="s">
        <v>274</v>
      </c>
      <c r="P141" s="13">
        <v>36892</v>
      </c>
    </row>
    <row r="142" spans="1:16" x14ac:dyDescent="0.25">
      <c r="A142" s="1" t="s">
        <v>164</v>
      </c>
      <c r="B142" s="7" t="str">
        <f>CONCATENATE("CNSARG",TEXT(consArgamassa[[#This Row],[Ordem]],"00000"))</f>
        <v>CNSARG00140</v>
      </c>
      <c r="C142" s="7">
        <v>140</v>
      </c>
      <c r="D142" s="10">
        <f>VLOOKUP(consArgamassa[[#This Row],[RecebID]],recebArgamassa[[RecebID]:[Insumo]],3,FALSE)</f>
        <v>44992</v>
      </c>
      <c r="E142" s="7" t="str">
        <f>VLOOKUP(consArgamassa[[#This Row],[RecebID]],recebArgamassa[[RecebID]:[Insumo]],4,FALSE)</f>
        <v>Argamassa Estabilizada</v>
      </c>
      <c r="F142" s="1" t="s">
        <v>247</v>
      </c>
      <c r="G142" s="1" t="s">
        <v>256</v>
      </c>
      <c r="H142" s="1">
        <v>7</v>
      </c>
      <c r="I142" s="1" t="s">
        <v>9</v>
      </c>
      <c r="K142" s="2">
        <v>1</v>
      </c>
      <c r="L142" s="23">
        <f>IFERROR(VLOOKUP(consArgamassa[[#This Row],[Serviço]],Tabela4[],5,FALSE),"")</f>
        <v>0</v>
      </c>
      <c r="M142" s="22">
        <f>VLOOKUP(consArgamassa[[#This Row],[RecebID]],recebArgamassa[],14,FALSE)</f>
        <v>464.75</v>
      </c>
      <c r="N142" s="22">
        <f>IFERROR(VLOOKUP(consArgamassa[[#This Row],[Serviço]],Tabela4[],6,FALSE),"")</f>
        <v>500</v>
      </c>
      <c r="O142" s="1" t="s">
        <v>274</v>
      </c>
      <c r="P142" s="13">
        <v>36892</v>
      </c>
    </row>
    <row r="143" spans="1:16" x14ac:dyDescent="0.25">
      <c r="A143" s="1" t="s">
        <v>165</v>
      </c>
      <c r="B143" s="7" t="str">
        <f>CONCATENATE("CNSARG",TEXT(consArgamassa[[#This Row],[Ordem]],"00000"))</f>
        <v>CNSARG00141</v>
      </c>
      <c r="C143" s="7">
        <v>141</v>
      </c>
      <c r="D143" s="10">
        <f>VLOOKUP(consArgamassa[[#This Row],[RecebID]],recebArgamassa[[RecebID]:[Insumo]],3,FALSE)</f>
        <v>44992</v>
      </c>
      <c r="E143" s="7" t="str">
        <f>VLOOKUP(consArgamassa[[#This Row],[RecebID]],recebArgamassa[[RecebID]:[Insumo]],4,FALSE)</f>
        <v>Argamassa Estabilizada</v>
      </c>
      <c r="F143" s="1" t="s">
        <v>247</v>
      </c>
      <c r="G143" s="1" t="s">
        <v>256</v>
      </c>
      <c r="H143" s="1">
        <v>7</v>
      </c>
      <c r="I143" s="1" t="s">
        <v>8</v>
      </c>
      <c r="K143" s="2">
        <v>1</v>
      </c>
      <c r="L143" s="23">
        <f>IFERROR(VLOOKUP(consArgamassa[[#This Row],[Serviço]],Tabela4[],5,FALSE),"")</f>
        <v>0</v>
      </c>
      <c r="M143" s="22">
        <f>VLOOKUP(consArgamassa[[#This Row],[RecebID]],recebArgamassa[],14,FALSE)</f>
        <v>464.75</v>
      </c>
      <c r="N143" s="22">
        <f>IFERROR(VLOOKUP(consArgamassa[[#This Row],[Serviço]],Tabela4[],6,FALSE),"")</f>
        <v>500</v>
      </c>
      <c r="O143" s="1" t="s">
        <v>274</v>
      </c>
      <c r="P143" s="13">
        <v>36892</v>
      </c>
    </row>
    <row r="144" spans="1:16" x14ac:dyDescent="0.25">
      <c r="A144" s="1" t="s">
        <v>166</v>
      </c>
      <c r="B144" s="7" t="str">
        <f>CONCATENATE("CNSARG",TEXT(consArgamassa[[#This Row],[Ordem]],"00000"))</f>
        <v>CNSARG00142</v>
      </c>
      <c r="C144" s="7">
        <v>142</v>
      </c>
      <c r="D144" s="10">
        <f>VLOOKUP(consArgamassa[[#This Row],[RecebID]],recebArgamassa[[RecebID]:[Insumo]],3,FALSE)</f>
        <v>44993</v>
      </c>
      <c r="E144" s="7" t="str">
        <f>VLOOKUP(consArgamassa[[#This Row],[RecebID]],recebArgamassa[[RecebID]:[Insumo]],4,FALSE)</f>
        <v>Argamassa Estabilizada</v>
      </c>
      <c r="F144" s="1" t="s">
        <v>264</v>
      </c>
      <c r="G144" s="1" t="s">
        <v>256</v>
      </c>
      <c r="H144" s="1">
        <v>3</v>
      </c>
      <c r="I144" s="1" t="s">
        <v>9</v>
      </c>
      <c r="K144" s="2">
        <v>2</v>
      </c>
      <c r="L144" s="23">
        <f>IFERROR(VLOOKUP(consArgamassa[[#This Row],[Serviço]],Tabela4[],5,FALSE),"")</f>
        <v>1.3352499999999998</v>
      </c>
      <c r="M144" s="22">
        <f>VLOOKUP(consArgamassa[[#This Row],[RecebID]],recebArgamassa[],14,FALSE)</f>
        <v>464.75</v>
      </c>
      <c r="N144" s="22">
        <f>IFERROR(VLOOKUP(consArgamassa[[#This Row],[Serviço]],Tabela4[],6,FALSE),"")</f>
        <v>500</v>
      </c>
      <c r="O144" s="1" t="s">
        <v>274</v>
      </c>
      <c r="P144" s="13">
        <v>36892</v>
      </c>
    </row>
    <row r="145" spans="1:16" x14ac:dyDescent="0.25">
      <c r="A145" s="1" t="s">
        <v>167</v>
      </c>
      <c r="B145" s="7" t="str">
        <f>CONCATENATE("CNSARG",TEXT(consArgamassa[[#This Row],[Ordem]],"00000"))</f>
        <v>CNSARG00143</v>
      </c>
      <c r="C145" s="7">
        <v>143</v>
      </c>
      <c r="D145" s="10">
        <f>VLOOKUP(consArgamassa[[#This Row],[RecebID]],recebArgamassa[[RecebID]:[Insumo]],3,FALSE)</f>
        <v>44993</v>
      </c>
      <c r="E145" s="7" t="str">
        <f>VLOOKUP(consArgamassa[[#This Row],[RecebID]],recebArgamassa[[RecebID]:[Insumo]],4,FALSE)</f>
        <v>Argamassa Estabilizada</v>
      </c>
      <c r="F145" s="1" t="s">
        <v>254</v>
      </c>
      <c r="G145" s="1" t="s">
        <v>270</v>
      </c>
      <c r="H145" s="1" t="s">
        <v>297</v>
      </c>
      <c r="I145" s="1" t="s">
        <v>10</v>
      </c>
      <c r="J145" s="1" t="s">
        <v>245</v>
      </c>
      <c r="K145" s="2">
        <v>0.5</v>
      </c>
      <c r="L145" s="23">
        <f>IFERROR(VLOOKUP(consArgamassa[[#This Row],[Serviço]],Tabela4[],5,FALSE),"")</f>
        <v>0</v>
      </c>
      <c r="M145" s="22">
        <f>VLOOKUP(consArgamassa[[#This Row],[RecebID]],recebArgamassa[],14,FALSE)</f>
        <v>464.75</v>
      </c>
      <c r="N145" s="22">
        <f>IFERROR(VLOOKUP(consArgamassa[[#This Row],[Serviço]],Tabela4[],6,FALSE),"")</f>
        <v>500</v>
      </c>
      <c r="O145" s="1" t="s">
        <v>274</v>
      </c>
      <c r="P145" s="13">
        <v>36892</v>
      </c>
    </row>
    <row r="146" spans="1:16" x14ac:dyDescent="0.25">
      <c r="A146" s="1" t="s">
        <v>168</v>
      </c>
      <c r="B146" s="7" t="str">
        <f>CONCATENATE("CNSARG",TEXT(consArgamassa[[#This Row],[Ordem]],"00000"))</f>
        <v>CNSARG00144</v>
      </c>
      <c r="C146" s="7">
        <v>144</v>
      </c>
      <c r="D146" s="10">
        <f>VLOOKUP(consArgamassa[[#This Row],[RecebID]],recebArgamassa[[RecebID]:[Insumo]],3,FALSE)</f>
        <v>44993</v>
      </c>
      <c r="E146" s="7" t="str">
        <f>VLOOKUP(consArgamassa[[#This Row],[RecebID]],recebArgamassa[[RecebID]:[Insumo]],4,FALSE)</f>
        <v>Argamassa Estabilizada</v>
      </c>
      <c r="F146" s="1" t="s">
        <v>276</v>
      </c>
      <c r="G146" s="1" t="s">
        <v>270</v>
      </c>
      <c r="H146" s="1" t="s">
        <v>296</v>
      </c>
      <c r="I146" s="1" t="s">
        <v>10</v>
      </c>
      <c r="J146" s="1" t="s">
        <v>243</v>
      </c>
      <c r="K146" s="2">
        <v>0.5</v>
      </c>
      <c r="L146" s="23">
        <f>IFERROR(VLOOKUP(consArgamassa[[#This Row],[Serviço]],Tabela4[],5,FALSE),"")</f>
        <v>0.81818181818181823</v>
      </c>
      <c r="M146" s="22">
        <f>VLOOKUP(consArgamassa[[#This Row],[RecebID]],recebArgamassa[],14,FALSE)</f>
        <v>464.75</v>
      </c>
      <c r="N146" s="22">
        <f>IFERROR(VLOOKUP(consArgamassa[[#This Row],[Serviço]],Tabela4[],6,FALSE),"")</f>
        <v>500</v>
      </c>
      <c r="O146" s="1" t="s">
        <v>274</v>
      </c>
      <c r="P146" s="13">
        <v>36892</v>
      </c>
    </row>
    <row r="147" spans="1:16" x14ac:dyDescent="0.25">
      <c r="A147" s="1" t="s">
        <v>169</v>
      </c>
      <c r="B147" s="7" t="str">
        <f>CONCATENATE("CNSARG",TEXT(consArgamassa[[#This Row],[Ordem]],"00000"))</f>
        <v>CNSARG00145</v>
      </c>
      <c r="C147" s="7">
        <v>145</v>
      </c>
      <c r="D147" s="10">
        <f>VLOOKUP(consArgamassa[[#This Row],[RecebID]],recebArgamassa[[RecebID]:[Insumo]],3,FALSE)</f>
        <v>44993</v>
      </c>
      <c r="E147" s="7" t="str">
        <f>VLOOKUP(consArgamassa[[#This Row],[RecebID]],recebArgamassa[[RecebID]:[Insumo]],4,FALSE)</f>
        <v>Argamassa Estabilizada</v>
      </c>
      <c r="F147" s="1" t="s">
        <v>249</v>
      </c>
      <c r="G147" s="1" t="s">
        <v>270</v>
      </c>
      <c r="H147" s="1" t="s">
        <v>297</v>
      </c>
      <c r="I147" s="1" t="s">
        <v>10</v>
      </c>
      <c r="J147" s="1" t="s">
        <v>23</v>
      </c>
      <c r="K147" s="2">
        <v>0.5</v>
      </c>
      <c r="L147" s="23">
        <f>IFERROR(VLOOKUP(consArgamassa[[#This Row],[Serviço]],Tabela4[],5,FALSE),"")</f>
        <v>0.125</v>
      </c>
      <c r="M147" s="22">
        <f>VLOOKUP(consArgamassa[[#This Row],[RecebID]],recebArgamassa[],14,FALSE)</f>
        <v>464.75</v>
      </c>
      <c r="N147" s="22">
        <f>IFERROR(VLOOKUP(consArgamassa[[#This Row],[Serviço]],Tabela4[],6,FALSE),"")</f>
        <v>500</v>
      </c>
      <c r="O147" s="1" t="s">
        <v>274</v>
      </c>
      <c r="P147" s="13">
        <v>36892</v>
      </c>
    </row>
    <row r="148" spans="1:16" x14ac:dyDescent="0.25">
      <c r="A148" s="1" t="s">
        <v>170</v>
      </c>
      <c r="B148" s="7" t="str">
        <f>CONCATENATE("CNSARG",TEXT(consArgamassa[[#This Row],[Ordem]],"00000"))</f>
        <v>CNSARG00146</v>
      </c>
      <c r="C148" s="7">
        <v>146</v>
      </c>
      <c r="D148" s="10">
        <f>VLOOKUP(consArgamassa[[#This Row],[RecebID]],recebArgamassa[[RecebID]:[Insumo]],3,FALSE)</f>
        <v>44993</v>
      </c>
      <c r="E148" s="7" t="str">
        <f>VLOOKUP(consArgamassa[[#This Row],[RecebID]],recebArgamassa[[RecebID]:[Insumo]],4,FALSE)</f>
        <v>Argamassa Estabilizada</v>
      </c>
      <c r="F148" s="1" t="s">
        <v>247</v>
      </c>
      <c r="G148" s="1" t="s">
        <v>255</v>
      </c>
      <c r="H148" s="1">
        <v>8</v>
      </c>
      <c r="I148" s="1" t="s">
        <v>8</v>
      </c>
      <c r="K148" s="2">
        <v>0.5</v>
      </c>
      <c r="L148" s="23">
        <f>IFERROR(VLOOKUP(consArgamassa[[#This Row],[Serviço]],Tabela4[],5,FALSE),"")</f>
        <v>0</v>
      </c>
      <c r="M148" s="22">
        <f>VLOOKUP(consArgamassa[[#This Row],[RecebID]],recebArgamassa[],14,FALSE)</f>
        <v>464.75</v>
      </c>
      <c r="N148" s="22">
        <f>IFERROR(VLOOKUP(consArgamassa[[#This Row],[Serviço]],Tabela4[],6,FALSE),"")</f>
        <v>500</v>
      </c>
      <c r="O148" s="1" t="s">
        <v>274</v>
      </c>
      <c r="P148" s="13">
        <v>36892</v>
      </c>
    </row>
    <row r="149" spans="1:16" x14ac:dyDescent="0.25">
      <c r="A149" s="1" t="s">
        <v>171</v>
      </c>
      <c r="B149" s="7" t="str">
        <f>CONCATENATE("CNSARG",TEXT(consArgamassa[[#This Row],[Ordem]],"00000"))</f>
        <v>CNSARG00147</v>
      </c>
      <c r="C149" s="7">
        <v>147</v>
      </c>
      <c r="D149" s="10">
        <f>VLOOKUP(consArgamassa[[#This Row],[RecebID]],recebArgamassa[[RecebID]:[Insumo]],3,FALSE)</f>
        <v>44993</v>
      </c>
      <c r="E149" s="7" t="str">
        <f>VLOOKUP(consArgamassa[[#This Row],[RecebID]],recebArgamassa[[RecebID]:[Insumo]],4,FALSE)</f>
        <v>Argamassa Estabilizada</v>
      </c>
      <c r="F149" s="1" t="s">
        <v>247</v>
      </c>
      <c r="G149" s="1" t="s">
        <v>255</v>
      </c>
      <c r="H149" s="1">
        <v>8</v>
      </c>
      <c r="I149" s="1" t="s">
        <v>7</v>
      </c>
      <c r="K149" s="2">
        <v>1</v>
      </c>
      <c r="L149" s="23">
        <f>IFERROR(VLOOKUP(consArgamassa[[#This Row],[Serviço]],Tabela4[],5,FALSE),"")</f>
        <v>0</v>
      </c>
      <c r="M149" s="22">
        <f>VLOOKUP(consArgamassa[[#This Row],[RecebID]],recebArgamassa[],14,FALSE)</f>
        <v>464.75</v>
      </c>
      <c r="N149" s="22">
        <f>IFERROR(VLOOKUP(consArgamassa[[#This Row],[Serviço]],Tabela4[],6,FALSE),"")</f>
        <v>500</v>
      </c>
      <c r="O149" s="1" t="s">
        <v>274</v>
      </c>
      <c r="P149" s="13">
        <v>36892</v>
      </c>
    </row>
    <row r="150" spans="1:16" x14ac:dyDescent="0.25">
      <c r="A150" s="1" t="s">
        <v>172</v>
      </c>
      <c r="B150" s="7" t="str">
        <f>CONCATENATE("CNSARG",TEXT(consArgamassa[[#This Row],[Ordem]],"00000"))</f>
        <v>CNSARG00148</v>
      </c>
      <c r="C150" s="7">
        <v>148</v>
      </c>
      <c r="D150" s="10">
        <f>VLOOKUP(consArgamassa[[#This Row],[RecebID]],recebArgamassa[[RecebID]:[Insumo]],3,FALSE)</f>
        <v>44994</v>
      </c>
      <c r="E150" s="7" t="str">
        <f>VLOOKUP(consArgamassa[[#This Row],[RecebID]],recebArgamassa[[RecebID]:[Insumo]],4,FALSE)</f>
        <v>Argamassa Estabilizada</v>
      </c>
      <c r="F150" s="1" t="s">
        <v>264</v>
      </c>
      <c r="G150" s="1" t="s">
        <v>256</v>
      </c>
      <c r="H150" s="1">
        <v>5</v>
      </c>
      <c r="I150" s="1" t="s">
        <v>9</v>
      </c>
      <c r="K150" s="2">
        <v>1</v>
      </c>
      <c r="L150" s="23">
        <f>IFERROR(VLOOKUP(consArgamassa[[#This Row],[Serviço]],Tabela4[],5,FALSE),"")</f>
        <v>1.3352499999999998</v>
      </c>
      <c r="M150" s="22">
        <f>VLOOKUP(consArgamassa[[#This Row],[RecebID]],recebArgamassa[],14,FALSE)</f>
        <v>464.75</v>
      </c>
      <c r="N150" s="22">
        <f>IFERROR(VLOOKUP(consArgamassa[[#This Row],[Serviço]],Tabela4[],6,FALSE),"")</f>
        <v>500</v>
      </c>
      <c r="O150" s="1" t="s">
        <v>274</v>
      </c>
      <c r="P150" s="13">
        <v>36892</v>
      </c>
    </row>
    <row r="151" spans="1:16" x14ac:dyDescent="0.25">
      <c r="A151" s="1" t="s">
        <v>173</v>
      </c>
      <c r="B151" s="7" t="str">
        <f>CONCATENATE("CNSARG",TEXT(consArgamassa[[#This Row],[Ordem]],"00000"))</f>
        <v>CNSARG00149</v>
      </c>
      <c r="C151" s="7">
        <v>149</v>
      </c>
      <c r="D151" s="10">
        <f>VLOOKUP(consArgamassa[[#This Row],[RecebID]],recebArgamassa[[RecebID]:[Insumo]],3,FALSE)</f>
        <v>44994</v>
      </c>
      <c r="E151" s="7" t="str">
        <f>VLOOKUP(consArgamassa[[#This Row],[RecebID]],recebArgamassa[[RecebID]:[Insumo]],4,FALSE)</f>
        <v>Argamassa Estabilizada</v>
      </c>
      <c r="F151" s="1" t="s">
        <v>276</v>
      </c>
      <c r="G151" s="1" t="s">
        <v>270</v>
      </c>
      <c r="H151" s="1" t="s">
        <v>296</v>
      </c>
      <c r="I151" s="1" t="s">
        <v>10</v>
      </c>
      <c r="J151" s="1" t="s">
        <v>243</v>
      </c>
      <c r="K151" s="2">
        <v>0.5</v>
      </c>
      <c r="L151" s="23">
        <f>IFERROR(VLOOKUP(consArgamassa[[#This Row],[Serviço]],Tabela4[],5,FALSE),"")</f>
        <v>0.81818181818181823</v>
      </c>
      <c r="M151" s="22">
        <f>VLOOKUP(consArgamassa[[#This Row],[RecebID]],recebArgamassa[],14,FALSE)</f>
        <v>464.75</v>
      </c>
      <c r="N151" s="22">
        <f>IFERROR(VLOOKUP(consArgamassa[[#This Row],[Serviço]],Tabela4[],6,FALSE),"")</f>
        <v>500</v>
      </c>
      <c r="O151" s="1" t="s">
        <v>274</v>
      </c>
      <c r="P151" s="13">
        <v>36892</v>
      </c>
    </row>
    <row r="152" spans="1:16" x14ac:dyDescent="0.25">
      <c r="A152" s="1" t="s">
        <v>174</v>
      </c>
      <c r="B152" s="7" t="str">
        <f>CONCATENATE("CNSARG",TEXT(consArgamassa[[#This Row],[Ordem]],"00000"))</f>
        <v>CNSARG00150</v>
      </c>
      <c r="C152" s="7">
        <v>150</v>
      </c>
      <c r="D152" s="10">
        <f>VLOOKUP(consArgamassa[[#This Row],[RecebID]],recebArgamassa[[RecebID]:[Insumo]],3,FALSE)</f>
        <v>44994</v>
      </c>
      <c r="E152" s="7" t="str">
        <f>VLOOKUP(consArgamassa[[#This Row],[RecebID]],recebArgamassa[[RecebID]:[Insumo]],4,FALSE)</f>
        <v>Argamassa Estabilizada</v>
      </c>
      <c r="F152" s="1" t="s">
        <v>264</v>
      </c>
      <c r="G152" s="1" t="s">
        <v>256</v>
      </c>
      <c r="H152" s="1">
        <v>7</v>
      </c>
      <c r="I152" s="1" t="s">
        <v>9</v>
      </c>
      <c r="K152" s="2">
        <v>0.5</v>
      </c>
      <c r="L152" s="23">
        <f>IFERROR(VLOOKUP(consArgamassa[[#This Row],[Serviço]],Tabela4[],5,FALSE),"")</f>
        <v>1.3352499999999998</v>
      </c>
      <c r="M152" s="22">
        <f>VLOOKUP(consArgamassa[[#This Row],[RecebID]],recebArgamassa[],14,FALSE)</f>
        <v>464.75</v>
      </c>
      <c r="N152" s="22">
        <f>IFERROR(VLOOKUP(consArgamassa[[#This Row],[Serviço]],Tabela4[],6,FALSE),"")</f>
        <v>500</v>
      </c>
      <c r="O152" s="1" t="s">
        <v>274</v>
      </c>
      <c r="P152" s="13">
        <v>36892</v>
      </c>
    </row>
    <row r="153" spans="1:16" x14ac:dyDescent="0.25">
      <c r="A153" s="1" t="s">
        <v>175</v>
      </c>
      <c r="B153" s="7" t="str">
        <f>CONCATENATE("CNSARG",TEXT(consArgamassa[[#This Row],[Ordem]],"00000"))</f>
        <v>CNSARG00151</v>
      </c>
      <c r="C153" s="7">
        <v>151</v>
      </c>
      <c r="D153" s="10">
        <f>VLOOKUP(consArgamassa[[#This Row],[RecebID]],recebArgamassa[[RecebID]:[Insumo]],3,FALSE)</f>
        <v>44994</v>
      </c>
      <c r="E153" s="7" t="str">
        <f>VLOOKUP(consArgamassa[[#This Row],[RecebID]],recebArgamassa[[RecebID]:[Insumo]],4,FALSE)</f>
        <v>Argamassa Estabilizada</v>
      </c>
      <c r="F153" s="1" t="s">
        <v>264</v>
      </c>
      <c r="G153" s="1" t="s">
        <v>255</v>
      </c>
      <c r="H153" s="1">
        <v>3</v>
      </c>
      <c r="I153" s="1" t="s">
        <v>9</v>
      </c>
      <c r="K153" s="2">
        <v>2</v>
      </c>
      <c r="L153" s="23">
        <f>IFERROR(VLOOKUP(consArgamassa[[#This Row],[Serviço]],Tabela4[],5,FALSE),"")</f>
        <v>1.3352499999999998</v>
      </c>
      <c r="M153" s="22">
        <f>VLOOKUP(consArgamassa[[#This Row],[RecebID]],recebArgamassa[],14,FALSE)</f>
        <v>464.75</v>
      </c>
      <c r="N153" s="22">
        <f>IFERROR(VLOOKUP(consArgamassa[[#This Row],[Serviço]],Tabela4[],6,FALSE),"")</f>
        <v>500</v>
      </c>
      <c r="O153" s="1" t="s">
        <v>274</v>
      </c>
      <c r="P153" s="13">
        <v>36892</v>
      </c>
    </row>
    <row r="154" spans="1:16" x14ac:dyDescent="0.25">
      <c r="A154" s="1" t="s">
        <v>176</v>
      </c>
      <c r="B154" s="7" t="str">
        <f>CONCATENATE("CNSARG",TEXT(consArgamassa[[#This Row],[Ordem]],"00000"))</f>
        <v>CNSARG00152</v>
      </c>
      <c r="C154" s="7">
        <v>152</v>
      </c>
      <c r="D154" s="10">
        <f>VLOOKUP(consArgamassa[[#This Row],[RecebID]],recebArgamassa[[RecebID]:[Insumo]],3,FALSE)</f>
        <v>44994</v>
      </c>
      <c r="E154" s="7" t="str">
        <f>VLOOKUP(consArgamassa[[#This Row],[RecebID]],recebArgamassa[[RecebID]:[Insumo]],4,FALSE)</f>
        <v>Argamassa Estabilizada</v>
      </c>
      <c r="F154" s="1" t="s">
        <v>249</v>
      </c>
      <c r="G154" s="1" t="s">
        <v>270</v>
      </c>
      <c r="H154" s="1" t="s">
        <v>297</v>
      </c>
      <c r="I154" s="1" t="s">
        <v>10</v>
      </c>
      <c r="J154" s="1" t="s">
        <v>23</v>
      </c>
      <c r="K154" s="2">
        <v>0.5</v>
      </c>
      <c r="L154" s="23">
        <f>IFERROR(VLOOKUP(consArgamassa[[#This Row],[Serviço]],Tabela4[],5,FALSE),"")</f>
        <v>0.125</v>
      </c>
      <c r="M154" s="22">
        <f>VLOOKUP(consArgamassa[[#This Row],[RecebID]],recebArgamassa[],14,FALSE)</f>
        <v>464.75</v>
      </c>
      <c r="N154" s="22">
        <f>IFERROR(VLOOKUP(consArgamassa[[#This Row],[Serviço]],Tabela4[],6,FALSE),"")</f>
        <v>500</v>
      </c>
      <c r="O154" s="1" t="s">
        <v>274</v>
      </c>
      <c r="P154" s="13">
        <v>36892</v>
      </c>
    </row>
    <row r="155" spans="1:16" x14ac:dyDescent="0.25">
      <c r="A155" s="1" t="s">
        <v>177</v>
      </c>
      <c r="B155" s="7" t="str">
        <f>CONCATENATE("CNSARG",TEXT(consArgamassa[[#This Row],[Ordem]],"00000"))</f>
        <v>CNSARG00153</v>
      </c>
      <c r="C155" s="7">
        <v>153</v>
      </c>
      <c r="D155" s="10">
        <f>VLOOKUP(consArgamassa[[#This Row],[RecebID]],recebArgamassa[[RecebID]:[Insumo]],3,FALSE)</f>
        <v>44994</v>
      </c>
      <c r="E155" s="7" t="str">
        <f>VLOOKUP(consArgamassa[[#This Row],[RecebID]],recebArgamassa[[RecebID]:[Insumo]],4,FALSE)</f>
        <v>Argamassa Estabilizada</v>
      </c>
      <c r="F155" s="1" t="s">
        <v>264</v>
      </c>
      <c r="G155" s="1" t="s">
        <v>255</v>
      </c>
      <c r="H155" s="1">
        <v>7</v>
      </c>
      <c r="I155" s="1" t="s">
        <v>8</v>
      </c>
      <c r="J155" s="1">
        <v>207</v>
      </c>
      <c r="K155" s="2">
        <v>0.5</v>
      </c>
      <c r="L155" s="23">
        <f>IFERROR(VLOOKUP(consArgamassa[[#This Row],[Serviço]],Tabela4[],5,FALSE),"")</f>
        <v>1.3352499999999998</v>
      </c>
      <c r="M155" s="22">
        <f>VLOOKUP(consArgamassa[[#This Row],[RecebID]],recebArgamassa[],14,FALSE)</f>
        <v>464.75</v>
      </c>
      <c r="N155" s="22">
        <f>IFERROR(VLOOKUP(consArgamassa[[#This Row],[Serviço]],Tabela4[],6,FALSE),"")</f>
        <v>500</v>
      </c>
      <c r="O155" s="1" t="s">
        <v>274</v>
      </c>
      <c r="P155" s="13">
        <v>36892</v>
      </c>
    </row>
    <row r="156" spans="1:16" x14ac:dyDescent="0.25">
      <c r="A156" s="1" t="s">
        <v>178</v>
      </c>
      <c r="B156" s="7" t="str">
        <f>CONCATENATE("CNSARG",TEXT(consArgamassa[[#This Row],[Ordem]],"00000"))</f>
        <v>CNSARG00154</v>
      </c>
      <c r="C156" s="7">
        <v>154</v>
      </c>
      <c r="D156" s="10">
        <f>VLOOKUP(consArgamassa[[#This Row],[RecebID]],recebArgamassa[[RecebID]:[Insumo]],3,FALSE)</f>
        <v>44994</v>
      </c>
      <c r="E156" s="7" t="str">
        <f>VLOOKUP(consArgamassa[[#This Row],[RecebID]],recebArgamassa[[RecebID]:[Insumo]],4,FALSE)</f>
        <v>Argamassa Estabilizada</v>
      </c>
      <c r="F156" s="1" t="s">
        <v>264</v>
      </c>
      <c r="G156" s="1" t="s">
        <v>255</v>
      </c>
      <c r="H156" s="1">
        <v>3</v>
      </c>
      <c r="I156" s="1" t="s">
        <v>9</v>
      </c>
      <c r="K156" s="2">
        <v>1</v>
      </c>
      <c r="L156" s="23">
        <f>IFERROR(VLOOKUP(consArgamassa[[#This Row],[Serviço]],Tabela4[],5,FALSE),"")</f>
        <v>1.3352499999999998</v>
      </c>
      <c r="M156" s="22">
        <f>VLOOKUP(consArgamassa[[#This Row],[RecebID]],recebArgamassa[],14,FALSE)</f>
        <v>464.75</v>
      </c>
      <c r="N156" s="22">
        <f>IFERROR(VLOOKUP(consArgamassa[[#This Row],[Serviço]],Tabela4[],6,FALSE),"")</f>
        <v>500</v>
      </c>
      <c r="O156" s="1" t="s">
        <v>274</v>
      </c>
      <c r="P156" s="13">
        <v>36892</v>
      </c>
    </row>
    <row r="157" spans="1:16" x14ac:dyDescent="0.25">
      <c r="A157" s="1" t="s">
        <v>179</v>
      </c>
      <c r="B157" s="7" t="str">
        <f>CONCATENATE("CNSARG",TEXT(consArgamassa[[#This Row],[Ordem]],"00000"))</f>
        <v>CNSARG00155</v>
      </c>
      <c r="C157" s="7">
        <v>155</v>
      </c>
      <c r="D157" s="10">
        <f>VLOOKUP(consArgamassa[[#This Row],[RecebID]],recebArgamassa[[RecebID]:[Insumo]],3,FALSE)</f>
        <v>44994</v>
      </c>
      <c r="E157" s="7" t="str">
        <f>VLOOKUP(consArgamassa[[#This Row],[RecebID]],recebArgamassa[[RecebID]:[Insumo]],4,FALSE)</f>
        <v>Argamassa Estabilizada</v>
      </c>
      <c r="F157" s="1" t="s">
        <v>264</v>
      </c>
      <c r="G157" s="1" t="s">
        <v>255</v>
      </c>
      <c r="H157" s="1">
        <v>3</v>
      </c>
      <c r="I157" s="1" t="s">
        <v>8</v>
      </c>
      <c r="K157" s="2">
        <v>3</v>
      </c>
      <c r="L157" s="23">
        <f>IFERROR(VLOOKUP(consArgamassa[[#This Row],[Serviço]],Tabela4[],5,FALSE),"")</f>
        <v>1.3352499999999998</v>
      </c>
      <c r="M157" s="22">
        <f>VLOOKUP(consArgamassa[[#This Row],[RecebID]],recebArgamassa[],14,FALSE)</f>
        <v>464.75</v>
      </c>
      <c r="N157" s="22">
        <f>IFERROR(VLOOKUP(consArgamassa[[#This Row],[Serviço]],Tabela4[],6,FALSE),"")</f>
        <v>500</v>
      </c>
      <c r="O157" s="1" t="s">
        <v>274</v>
      </c>
      <c r="P157" s="13">
        <v>36892</v>
      </c>
    </row>
    <row r="158" spans="1:16" x14ac:dyDescent="0.25">
      <c r="A158" s="1" t="s">
        <v>180</v>
      </c>
      <c r="B158" s="7" t="str">
        <f>CONCATENATE("CNSARG",TEXT(consArgamassa[[#This Row],[Ordem]],"00000"))</f>
        <v>CNSARG00156</v>
      </c>
      <c r="C158" s="7">
        <v>156</v>
      </c>
      <c r="D158" s="10">
        <f>VLOOKUP(consArgamassa[[#This Row],[RecebID]],recebArgamassa[[RecebID]:[Insumo]],3,FALSE)</f>
        <v>44994</v>
      </c>
      <c r="E158" s="7" t="str">
        <f>VLOOKUP(consArgamassa[[#This Row],[RecebID]],recebArgamassa[[RecebID]:[Insumo]],4,FALSE)</f>
        <v>Argamassa Estabilizada</v>
      </c>
      <c r="F158" s="1" t="s">
        <v>239</v>
      </c>
      <c r="G158" s="1" t="s">
        <v>255</v>
      </c>
      <c r="H158" s="1">
        <v>7</v>
      </c>
      <c r="I158" s="1" t="s">
        <v>8</v>
      </c>
      <c r="J158" s="1">
        <v>207</v>
      </c>
      <c r="K158" s="2">
        <v>1</v>
      </c>
      <c r="L158" s="23">
        <f>IFERROR(VLOOKUP(consArgamassa[[#This Row],[Serviço]],Tabela4[],5,FALSE),"")</f>
        <v>0</v>
      </c>
      <c r="M158" s="22">
        <f>VLOOKUP(consArgamassa[[#This Row],[RecebID]],recebArgamassa[],14,FALSE)</f>
        <v>464.75</v>
      </c>
      <c r="N158" s="22">
        <f>IFERROR(VLOOKUP(consArgamassa[[#This Row],[Serviço]],Tabela4[],6,FALSE),"")</f>
        <v>500</v>
      </c>
      <c r="O158" s="1" t="s">
        <v>274</v>
      </c>
      <c r="P158" s="13">
        <v>36892</v>
      </c>
    </row>
    <row r="159" spans="1:16" x14ac:dyDescent="0.25">
      <c r="A159" s="1" t="s">
        <v>181</v>
      </c>
      <c r="B159" s="7" t="str">
        <f>CONCATENATE("CNSARG",TEXT(consArgamassa[[#This Row],[Ordem]],"00000"))</f>
        <v>CNSARG00157</v>
      </c>
      <c r="C159" s="7">
        <v>157</v>
      </c>
      <c r="D159" s="10">
        <f>VLOOKUP(consArgamassa[[#This Row],[RecebID]],recebArgamassa[[RecebID]:[Insumo]],3,FALSE)</f>
        <v>44994</v>
      </c>
      <c r="E159" s="7" t="str">
        <f>VLOOKUP(consArgamassa[[#This Row],[RecebID]],recebArgamassa[[RecebID]:[Insumo]],4,FALSE)</f>
        <v>Argamassa Estabilizada</v>
      </c>
      <c r="F159" s="1" t="s">
        <v>264</v>
      </c>
      <c r="G159" s="1" t="s">
        <v>256</v>
      </c>
      <c r="H159" s="1">
        <v>5</v>
      </c>
      <c r="I159" s="1" t="s">
        <v>8</v>
      </c>
      <c r="K159" s="2">
        <v>1</v>
      </c>
      <c r="L159" s="23">
        <f>IFERROR(VLOOKUP(consArgamassa[[#This Row],[Serviço]],Tabela4[],5,FALSE),"")</f>
        <v>1.3352499999999998</v>
      </c>
      <c r="M159" s="22">
        <f>VLOOKUP(consArgamassa[[#This Row],[RecebID]],recebArgamassa[],14,FALSE)</f>
        <v>464.75</v>
      </c>
      <c r="N159" s="22">
        <f>IFERROR(VLOOKUP(consArgamassa[[#This Row],[Serviço]],Tabela4[],6,FALSE),"")</f>
        <v>500</v>
      </c>
      <c r="O159" s="1" t="s">
        <v>274</v>
      </c>
      <c r="P159" s="13">
        <v>36892</v>
      </c>
    </row>
    <row r="160" spans="1:16" x14ac:dyDescent="0.25">
      <c r="A160" s="1" t="s">
        <v>182</v>
      </c>
      <c r="B160" s="7" t="str">
        <f>CONCATENATE("CNSARG",TEXT(consArgamassa[[#This Row],[Ordem]],"00000"))</f>
        <v>CNSARG00158</v>
      </c>
      <c r="C160" s="7">
        <v>158</v>
      </c>
      <c r="D160" s="10">
        <f>VLOOKUP(consArgamassa[[#This Row],[RecebID]],recebArgamassa[[RecebID]:[Insumo]],3,FALSE)</f>
        <v>44994</v>
      </c>
      <c r="E160" s="7" t="str">
        <f>VLOOKUP(consArgamassa[[#This Row],[RecebID]],recebArgamassa[[RecebID]:[Insumo]],4,FALSE)</f>
        <v>Argamassa Estabilizada</v>
      </c>
      <c r="F160" s="1" t="s">
        <v>264</v>
      </c>
      <c r="G160" s="1" t="s">
        <v>256</v>
      </c>
      <c r="H160" s="1">
        <v>7</v>
      </c>
      <c r="I160" s="1" t="s">
        <v>9</v>
      </c>
      <c r="K160" s="2">
        <v>0.5</v>
      </c>
      <c r="L160" s="23">
        <f>IFERROR(VLOOKUP(consArgamassa[[#This Row],[Serviço]],Tabela4[],5,FALSE),"")</f>
        <v>1.3352499999999998</v>
      </c>
      <c r="M160" s="22">
        <f>VLOOKUP(consArgamassa[[#This Row],[RecebID]],recebArgamassa[],14,FALSE)</f>
        <v>464.75</v>
      </c>
      <c r="N160" s="22">
        <f>IFERROR(VLOOKUP(consArgamassa[[#This Row],[Serviço]],Tabela4[],6,FALSE),"")</f>
        <v>500</v>
      </c>
      <c r="O160" s="1" t="s">
        <v>274</v>
      </c>
      <c r="P160" s="13">
        <v>36892</v>
      </c>
    </row>
    <row r="161" spans="1:16" x14ac:dyDescent="0.25">
      <c r="A161" s="1" t="s">
        <v>183</v>
      </c>
      <c r="B161" s="7" t="str">
        <f>CONCATENATE("CNSARG",TEXT(consArgamassa[[#This Row],[Ordem]],"00000"))</f>
        <v>CNSARG00159</v>
      </c>
      <c r="C161" s="7">
        <v>159</v>
      </c>
      <c r="D161" s="10">
        <f>VLOOKUP(consArgamassa[[#This Row],[RecebID]],recebArgamassa[[RecebID]:[Insumo]],3,FALSE)</f>
        <v>44994</v>
      </c>
      <c r="E161" s="7" t="str">
        <f>VLOOKUP(consArgamassa[[#This Row],[RecebID]],recebArgamassa[[RecebID]:[Insumo]],4,FALSE)</f>
        <v>Argamassa Estabilizada</v>
      </c>
      <c r="F161" s="1" t="s">
        <v>264</v>
      </c>
      <c r="G161" s="1" t="s">
        <v>256</v>
      </c>
      <c r="H161" s="1">
        <v>7</v>
      </c>
      <c r="I161" s="1" t="s">
        <v>8</v>
      </c>
      <c r="K161" s="2">
        <v>0.5</v>
      </c>
      <c r="L161" s="23">
        <f>IFERROR(VLOOKUP(consArgamassa[[#This Row],[Serviço]],Tabela4[],5,FALSE),"")</f>
        <v>1.3352499999999998</v>
      </c>
      <c r="M161" s="22">
        <f>VLOOKUP(consArgamassa[[#This Row],[RecebID]],recebArgamassa[],14,FALSE)</f>
        <v>464.75</v>
      </c>
      <c r="N161" s="22">
        <f>IFERROR(VLOOKUP(consArgamassa[[#This Row],[Serviço]],Tabela4[],6,FALSE),"")</f>
        <v>500</v>
      </c>
      <c r="O161" s="1" t="s">
        <v>274</v>
      </c>
      <c r="P161" s="13">
        <v>36892</v>
      </c>
    </row>
    <row r="162" spans="1:16" x14ac:dyDescent="0.25">
      <c r="A162" s="1" t="s">
        <v>184</v>
      </c>
      <c r="B162" s="7" t="str">
        <f>CONCATENATE("CNSARG",TEXT(consArgamassa[[#This Row],[Ordem]],"00000"))</f>
        <v>CNSARG00166</v>
      </c>
      <c r="C162" s="7">
        <v>166</v>
      </c>
      <c r="D162" s="10">
        <f>VLOOKUP(consArgamassa[[#This Row],[RecebID]],recebArgamassa[[RecebID]:[Insumo]],3,FALSE)</f>
        <v>44197</v>
      </c>
      <c r="E162" s="7" t="str">
        <f>VLOOKUP(consArgamassa[[#This Row],[RecebID]],recebArgamassa[[RecebID]:[Insumo]],4,FALSE)</f>
        <v>Argamassa Estabilizada</v>
      </c>
      <c r="F162" s="1" t="s">
        <v>264</v>
      </c>
      <c r="G162" s="1" t="s">
        <v>255</v>
      </c>
      <c r="H162" s="1">
        <v>7</v>
      </c>
      <c r="I162" s="1" t="s">
        <v>8</v>
      </c>
      <c r="K162" s="2">
        <v>0.5</v>
      </c>
      <c r="L162" s="23">
        <f>IFERROR(VLOOKUP(consArgamassa[[#This Row],[Serviço]],Tabela4[],5,FALSE),"")</f>
        <v>1.3352499999999998</v>
      </c>
      <c r="M162" s="22">
        <f>VLOOKUP(consArgamassa[[#This Row],[RecebID]],recebArgamassa[],14,FALSE)</f>
        <v>464.75</v>
      </c>
      <c r="N162" s="22">
        <f>IFERROR(VLOOKUP(consArgamassa[[#This Row],[Serviço]],Tabela4[],6,FALSE),"")</f>
        <v>500</v>
      </c>
      <c r="O162" s="1" t="s">
        <v>274</v>
      </c>
      <c r="P162" s="13">
        <v>36892</v>
      </c>
    </row>
    <row r="163" spans="1:16" x14ac:dyDescent="0.25">
      <c r="A163" s="1" t="s">
        <v>185</v>
      </c>
      <c r="B163" s="7" t="str">
        <f>CONCATENATE("CNSARG",TEXT(consArgamassa[[#This Row],[Ordem]],"00000"))</f>
        <v>CNSARG00168</v>
      </c>
      <c r="C163" s="7">
        <v>168</v>
      </c>
      <c r="D163" s="10">
        <f>VLOOKUP(consArgamassa[[#This Row],[RecebID]],recebArgamassa[[RecebID]:[Insumo]],3,FALSE)</f>
        <v>44998.125</v>
      </c>
      <c r="E163" s="7" t="str">
        <f>VLOOKUP(consArgamassa[[#This Row],[RecebID]],recebArgamassa[[RecebID]:[Insumo]],4,FALSE)</f>
        <v>Argamassa Estabilizada</v>
      </c>
      <c r="F163" s="1" t="s">
        <v>239</v>
      </c>
      <c r="G163" s="1" t="s">
        <v>270</v>
      </c>
      <c r="H163" s="1" t="s">
        <v>297</v>
      </c>
      <c r="I163" s="1" t="s">
        <v>10</v>
      </c>
      <c r="J163" s="1" t="s">
        <v>239</v>
      </c>
      <c r="K163" s="2">
        <v>1.5</v>
      </c>
      <c r="L163" s="23">
        <f>IFERROR(VLOOKUP(consArgamassa[[#This Row],[Serviço]],Tabela4[],5,FALSE),"")</f>
        <v>0</v>
      </c>
      <c r="M163" s="22">
        <f>VLOOKUP(consArgamassa[[#This Row],[RecebID]],recebArgamassa[],14,FALSE)</f>
        <v>464.75</v>
      </c>
      <c r="N163" s="22">
        <f>IFERROR(VLOOKUP(consArgamassa[[#This Row],[Serviço]],Tabela4[],6,FALSE),"")</f>
        <v>500</v>
      </c>
      <c r="O163" s="1" t="s">
        <v>274</v>
      </c>
      <c r="P163" s="13">
        <v>36892</v>
      </c>
    </row>
    <row r="164" spans="1:16" x14ac:dyDescent="0.25">
      <c r="A164" s="1" t="s">
        <v>186</v>
      </c>
      <c r="B164" s="7" t="str">
        <f>CONCATENATE("CNSARG",TEXT(consArgamassa[[#This Row],[Ordem]],"00000"))</f>
        <v>CNSARG00169</v>
      </c>
      <c r="C164" s="7">
        <v>169</v>
      </c>
      <c r="D164" s="10">
        <f>VLOOKUP(consArgamassa[[#This Row],[RecebID]],recebArgamassa[[RecebID]:[Insumo]],3,FALSE)</f>
        <v>44999.125</v>
      </c>
      <c r="E164" s="7" t="str">
        <f>VLOOKUP(consArgamassa[[#This Row],[RecebID]],recebArgamassa[[RecebID]:[Insumo]],4,FALSE)</f>
        <v>Argamassa Estabilizada</v>
      </c>
      <c r="F164" s="1" t="s">
        <v>264</v>
      </c>
      <c r="G164" s="1" t="s">
        <v>255</v>
      </c>
      <c r="H164" s="1">
        <v>3</v>
      </c>
      <c r="I164" s="1" t="s">
        <v>9</v>
      </c>
      <c r="K164" s="2">
        <v>3.5</v>
      </c>
      <c r="L164" s="23">
        <f>IFERROR(VLOOKUP(consArgamassa[[#This Row],[Serviço]],Tabela4[],5,FALSE),"")</f>
        <v>1.3352499999999998</v>
      </c>
      <c r="M164" s="22">
        <f>VLOOKUP(consArgamassa[[#This Row],[RecebID]],recebArgamassa[],14,FALSE)</f>
        <v>464.75</v>
      </c>
      <c r="N164" s="22">
        <f>IFERROR(VLOOKUP(consArgamassa[[#This Row],[Serviço]],Tabela4[],6,FALSE),"")</f>
        <v>500</v>
      </c>
      <c r="O164" s="1" t="s">
        <v>274</v>
      </c>
      <c r="P164" s="13">
        <v>36892</v>
      </c>
    </row>
    <row r="165" spans="1:16" x14ac:dyDescent="0.25">
      <c r="A165" s="1" t="s">
        <v>187</v>
      </c>
      <c r="B165" s="7" t="str">
        <f>CONCATENATE("CNSARG",TEXT(consArgamassa[[#This Row],[Ordem]],"00000"))</f>
        <v>CNSARG00170</v>
      </c>
      <c r="C165" s="7">
        <v>170</v>
      </c>
      <c r="D165" s="10">
        <f>VLOOKUP(consArgamassa[[#This Row],[RecebID]],recebArgamassa[[RecebID]:[Insumo]],3,FALSE)</f>
        <v>45000.125</v>
      </c>
      <c r="E165" s="7" t="str">
        <f>VLOOKUP(consArgamassa[[#This Row],[RecebID]],recebArgamassa[[RecebID]:[Insumo]],4,FALSE)</f>
        <v>Argamassa Estabilizada</v>
      </c>
      <c r="F165" s="1" t="s">
        <v>264</v>
      </c>
      <c r="G165" s="1" t="s">
        <v>255</v>
      </c>
      <c r="H165" s="1">
        <v>3</v>
      </c>
      <c r="I165" s="1" t="s">
        <v>8</v>
      </c>
      <c r="K165" s="2">
        <v>3</v>
      </c>
      <c r="L165" s="23">
        <f>IFERROR(VLOOKUP(consArgamassa[[#This Row],[Serviço]],Tabela4[],5,FALSE),"")</f>
        <v>1.3352499999999998</v>
      </c>
      <c r="M165" s="22">
        <f>VLOOKUP(consArgamassa[[#This Row],[RecebID]],recebArgamassa[],14,FALSE)</f>
        <v>464.75</v>
      </c>
      <c r="N165" s="22">
        <f>IFERROR(VLOOKUP(consArgamassa[[#This Row],[Serviço]],Tabela4[],6,FALSE),"")</f>
        <v>500</v>
      </c>
      <c r="O165" s="1" t="s">
        <v>274</v>
      </c>
      <c r="P165" s="13">
        <v>36892</v>
      </c>
    </row>
    <row r="166" spans="1:16" x14ac:dyDescent="0.25">
      <c r="A166" s="1" t="s">
        <v>188</v>
      </c>
      <c r="B166" s="7" t="str">
        <f>CONCATENATE("CNSARG",TEXT(consArgamassa[[#This Row],[Ordem]],"00000"))</f>
        <v>CNSARG00171</v>
      </c>
      <c r="C166" s="7">
        <v>171</v>
      </c>
      <c r="D166" s="10">
        <f>VLOOKUP(consArgamassa[[#This Row],[RecebID]],recebArgamassa[[RecebID]:[Insumo]],3,FALSE)</f>
        <v>45001.125</v>
      </c>
      <c r="E166" s="7" t="str">
        <f>VLOOKUP(consArgamassa[[#This Row],[RecebID]],recebArgamassa[[RecebID]:[Insumo]],4,FALSE)</f>
        <v>Argamassa Estabilizada</v>
      </c>
      <c r="F166" s="1" t="s">
        <v>264</v>
      </c>
      <c r="G166" s="1" t="s">
        <v>255</v>
      </c>
      <c r="H166" s="1">
        <v>3</v>
      </c>
      <c r="I166" s="1" t="s">
        <v>8</v>
      </c>
      <c r="K166" s="2">
        <v>4</v>
      </c>
      <c r="L166" s="23">
        <f>IFERROR(VLOOKUP(consArgamassa[[#This Row],[Serviço]],Tabela4[],5,FALSE),"")</f>
        <v>1.3352499999999998</v>
      </c>
      <c r="M166" s="22">
        <f>VLOOKUP(consArgamassa[[#This Row],[RecebID]],recebArgamassa[],14,FALSE)</f>
        <v>464.75</v>
      </c>
      <c r="N166" s="22">
        <f>IFERROR(VLOOKUP(consArgamassa[[#This Row],[Serviço]],Tabela4[],6,FALSE),"")</f>
        <v>500</v>
      </c>
      <c r="O166" s="1" t="s">
        <v>274</v>
      </c>
      <c r="P166" s="13">
        <v>36892</v>
      </c>
    </row>
    <row r="167" spans="1:16" x14ac:dyDescent="0.25">
      <c r="A167" s="1" t="s">
        <v>189</v>
      </c>
      <c r="B167" s="7" t="str">
        <f>CONCATENATE("CNSARG",TEXT(consArgamassa[[#This Row],[Ordem]],"00000"))</f>
        <v>CNSARG00172</v>
      </c>
      <c r="C167" s="7">
        <v>172</v>
      </c>
      <c r="D167" s="10">
        <f>VLOOKUP(consArgamassa[[#This Row],[RecebID]],recebArgamassa[[RecebID]:[Insumo]],3,FALSE)</f>
        <v>45002.125</v>
      </c>
      <c r="E167" s="7" t="str">
        <f>VLOOKUP(consArgamassa[[#This Row],[RecebID]],recebArgamassa[[RecebID]:[Insumo]],4,FALSE)</f>
        <v>Argamassa Estabilizada</v>
      </c>
      <c r="F167" s="1" t="s">
        <v>247</v>
      </c>
      <c r="G167" s="1" t="s">
        <v>255</v>
      </c>
      <c r="H167" s="1">
        <v>6</v>
      </c>
      <c r="I167" s="1" t="s">
        <v>9</v>
      </c>
      <c r="K167" s="2">
        <v>1</v>
      </c>
      <c r="L167" s="23">
        <f>IFERROR(VLOOKUP(consArgamassa[[#This Row],[Serviço]],Tabela4[],5,FALSE),"")</f>
        <v>0</v>
      </c>
      <c r="M167" s="22">
        <f>VLOOKUP(consArgamassa[[#This Row],[RecebID]],recebArgamassa[],14,FALSE)</f>
        <v>464.75</v>
      </c>
      <c r="N167" s="22">
        <f>IFERROR(VLOOKUP(consArgamassa[[#This Row],[Serviço]],Tabela4[],6,FALSE),"")</f>
        <v>500</v>
      </c>
      <c r="O167" s="1" t="s">
        <v>274</v>
      </c>
      <c r="P167" s="13">
        <v>36892</v>
      </c>
    </row>
    <row r="168" spans="1:16" x14ac:dyDescent="0.25">
      <c r="A168" s="1" t="s">
        <v>190</v>
      </c>
      <c r="B168" s="7" t="str">
        <f>CONCATENATE("CNSARG",TEXT(consArgamassa[[#This Row],[Ordem]],"00000"))</f>
        <v>CNSARG00173</v>
      </c>
      <c r="C168" s="7">
        <v>173</v>
      </c>
      <c r="D168" s="10">
        <f>VLOOKUP(consArgamassa[[#This Row],[RecebID]],recebArgamassa[[RecebID]:[Insumo]],3,FALSE)</f>
        <v>45005.125</v>
      </c>
      <c r="E168" s="7" t="str">
        <f>VLOOKUP(consArgamassa[[#This Row],[RecebID]],recebArgamassa[[RecebID]:[Insumo]],4,FALSE)</f>
        <v>Argamassa Estabilizada</v>
      </c>
      <c r="F168" s="1" t="s">
        <v>239</v>
      </c>
      <c r="G168" s="1" t="s">
        <v>270</v>
      </c>
      <c r="H168" s="1" t="s">
        <v>297</v>
      </c>
      <c r="I168" s="1" t="s">
        <v>10</v>
      </c>
      <c r="J168" s="1" t="s">
        <v>239</v>
      </c>
      <c r="K168" s="2">
        <v>1</v>
      </c>
      <c r="L168" s="23">
        <f>IFERROR(VLOOKUP(consArgamassa[[#This Row],[Serviço]],Tabela4[],5,FALSE),"")</f>
        <v>0</v>
      </c>
      <c r="M168" s="22">
        <f>VLOOKUP(consArgamassa[[#This Row],[RecebID]],recebArgamassa[],14,FALSE)</f>
        <v>464.75</v>
      </c>
      <c r="N168" s="22">
        <f>IFERROR(VLOOKUP(consArgamassa[[#This Row],[Serviço]],Tabela4[],6,FALSE),"")</f>
        <v>500</v>
      </c>
      <c r="O168" s="1" t="s">
        <v>274</v>
      </c>
      <c r="P168" s="13">
        <v>36892</v>
      </c>
    </row>
    <row r="169" spans="1:16" x14ac:dyDescent="0.25">
      <c r="A169" s="1" t="s">
        <v>191</v>
      </c>
      <c r="B169" s="7" t="str">
        <f>CONCATENATE("CNSARG",TEXT(consArgamassa[[#This Row],[Ordem]],"00000"))</f>
        <v>CNSARG00174</v>
      </c>
      <c r="C169" s="7">
        <v>174</v>
      </c>
      <c r="D169" s="10">
        <f>VLOOKUP(consArgamassa[[#This Row],[RecebID]],recebArgamassa[[RecebID]:[Insumo]],3,FALSE)</f>
        <v>45006.125</v>
      </c>
      <c r="E169" s="7" t="str">
        <f>VLOOKUP(consArgamassa[[#This Row],[RecebID]],recebArgamassa[[RecebID]:[Insumo]],4,FALSE)</f>
        <v>Argamassa Estabilizada</v>
      </c>
      <c r="F169" s="1" t="s">
        <v>239</v>
      </c>
      <c r="G169" s="1" t="s">
        <v>270</v>
      </c>
      <c r="H169" s="1" t="s">
        <v>297</v>
      </c>
      <c r="I169" s="1" t="s">
        <v>10</v>
      </c>
      <c r="J169" s="1" t="s">
        <v>239</v>
      </c>
      <c r="K169" s="2">
        <v>1</v>
      </c>
      <c r="L169" s="23">
        <f>IFERROR(VLOOKUP(consArgamassa[[#This Row],[Serviço]],Tabela4[],5,FALSE),"")</f>
        <v>0</v>
      </c>
      <c r="M169" s="22">
        <f>VLOOKUP(consArgamassa[[#This Row],[RecebID]],recebArgamassa[],14,FALSE)</f>
        <v>464.75</v>
      </c>
      <c r="N169" s="22">
        <f>IFERROR(VLOOKUP(consArgamassa[[#This Row],[Serviço]],Tabela4[],6,FALSE),"")</f>
        <v>500</v>
      </c>
      <c r="O169" s="1" t="s">
        <v>274</v>
      </c>
      <c r="P169" s="13">
        <v>36892</v>
      </c>
    </row>
    <row r="170" spans="1:16" x14ac:dyDescent="0.25">
      <c r="A170" s="1" t="s">
        <v>192</v>
      </c>
      <c r="B170" s="7" t="str">
        <f>CONCATENATE("CNSARG",TEXT(consArgamassa[[#This Row],[Ordem]],"00000"))</f>
        <v>CNSARG00175</v>
      </c>
      <c r="C170" s="7">
        <v>175</v>
      </c>
      <c r="D170" s="10">
        <f>VLOOKUP(consArgamassa[[#This Row],[RecebID]],recebArgamassa[[RecebID]:[Insumo]],3,FALSE)</f>
        <v>45007.125</v>
      </c>
      <c r="E170" s="7" t="str">
        <f>VLOOKUP(consArgamassa[[#This Row],[RecebID]],recebArgamassa[[RecebID]:[Insumo]],4,FALSE)</f>
        <v>Argamassa Estabilizada</v>
      </c>
      <c r="F170" s="1" t="s">
        <v>239</v>
      </c>
      <c r="G170" s="1" t="s">
        <v>270</v>
      </c>
      <c r="H170" s="1" t="s">
        <v>297</v>
      </c>
      <c r="I170" s="1" t="s">
        <v>10</v>
      </c>
      <c r="J170" s="1" t="s">
        <v>239</v>
      </c>
      <c r="K170" s="2">
        <v>1</v>
      </c>
      <c r="L170" s="23">
        <f>IFERROR(VLOOKUP(consArgamassa[[#This Row],[Serviço]],Tabela4[],5,FALSE),"")</f>
        <v>0</v>
      </c>
      <c r="M170" s="22">
        <f>VLOOKUP(consArgamassa[[#This Row],[RecebID]],recebArgamassa[],14,FALSE)</f>
        <v>464.75</v>
      </c>
      <c r="N170" s="22">
        <f>IFERROR(VLOOKUP(consArgamassa[[#This Row],[Serviço]],Tabela4[],6,FALSE),"")</f>
        <v>500</v>
      </c>
      <c r="O170" s="1" t="s">
        <v>274</v>
      </c>
      <c r="P170" s="13">
        <v>36892</v>
      </c>
    </row>
    <row r="171" spans="1:16" x14ac:dyDescent="0.25">
      <c r="A171" s="1" t="s">
        <v>193</v>
      </c>
      <c r="B171" s="7" t="str">
        <f>CONCATENATE("CNSARG",TEXT(consArgamassa[[#This Row],[Ordem]],"00000"))</f>
        <v>CNSARG00176</v>
      </c>
      <c r="C171" s="7">
        <v>176</v>
      </c>
      <c r="D171" s="10">
        <f>VLOOKUP(consArgamassa[[#This Row],[RecebID]],recebArgamassa[[RecebID]:[Insumo]],3,FALSE)</f>
        <v>45008.125</v>
      </c>
      <c r="E171" s="7" t="str">
        <f>VLOOKUP(consArgamassa[[#This Row],[RecebID]],recebArgamassa[[RecebID]:[Insumo]],4,FALSE)</f>
        <v>Argamassa Estabilizada</v>
      </c>
      <c r="F171" s="1" t="s">
        <v>239</v>
      </c>
      <c r="G171" s="1" t="s">
        <v>270</v>
      </c>
      <c r="H171" s="1" t="s">
        <v>297</v>
      </c>
      <c r="I171" s="1" t="s">
        <v>10</v>
      </c>
      <c r="J171" s="1" t="s">
        <v>239</v>
      </c>
      <c r="K171" s="2">
        <v>1</v>
      </c>
      <c r="L171" s="23">
        <f>IFERROR(VLOOKUP(consArgamassa[[#This Row],[Serviço]],Tabela4[],5,FALSE),"")</f>
        <v>0</v>
      </c>
      <c r="M171" s="22">
        <f>VLOOKUP(consArgamassa[[#This Row],[RecebID]],recebArgamassa[],14,FALSE)</f>
        <v>464.75</v>
      </c>
      <c r="N171" s="22">
        <f>IFERROR(VLOOKUP(consArgamassa[[#This Row],[Serviço]],Tabela4[],6,FALSE),"")</f>
        <v>500</v>
      </c>
      <c r="O171" s="1" t="s">
        <v>274</v>
      </c>
      <c r="P171" s="13">
        <v>36892</v>
      </c>
    </row>
    <row r="172" spans="1:16" x14ac:dyDescent="0.25">
      <c r="A172" s="1" t="s">
        <v>194</v>
      </c>
      <c r="B172" s="7" t="str">
        <f>CONCATENATE("CNSARG",TEXT(consArgamassa[[#This Row],[Ordem]],"00000"))</f>
        <v>CNSARG00177</v>
      </c>
      <c r="C172" s="7">
        <v>177</v>
      </c>
      <c r="D172" s="10">
        <f>VLOOKUP(consArgamassa[[#This Row],[RecebID]],recebArgamassa[[RecebID]:[Insumo]],3,FALSE)</f>
        <v>45009.125</v>
      </c>
      <c r="E172" s="7" t="str">
        <f>VLOOKUP(consArgamassa[[#This Row],[RecebID]],recebArgamassa[[RecebID]:[Insumo]],4,FALSE)</f>
        <v>Argamassa Estabilizada</v>
      </c>
      <c r="F172" s="1" t="s">
        <v>264</v>
      </c>
      <c r="G172" s="1" t="s">
        <v>256</v>
      </c>
      <c r="H172" s="1">
        <v>3</v>
      </c>
      <c r="I172" s="1" t="s">
        <v>8</v>
      </c>
      <c r="K172" s="2">
        <v>6</v>
      </c>
      <c r="L172" s="23">
        <f>IFERROR(VLOOKUP(consArgamassa[[#This Row],[Serviço]],Tabela4[],5,FALSE),"")</f>
        <v>1.3352499999999998</v>
      </c>
      <c r="M172" s="22">
        <f>VLOOKUP(consArgamassa[[#This Row],[RecebID]],recebArgamassa[],14,FALSE)</f>
        <v>464.75</v>
      </c>
      <c r="N172" s="22">
        <f>IFERROR(VLOOKUP(consArgamassa[[#This Row],[Serviço]],Tabela4[],6,FALSE),"")</f>
        <v>500</v>
      </c>
      <c r="O172" s="1" t="s">
        <v>274</v>
      </c>
      <c r="P172" s="13">
        <v>36892</v>
      </c>
    </row>
    <row r="173" spans="1:16" x14ac:dyDescent="0.25">
      <c r="A173" s="1" t="s">
        <v>195</v>
      </c>
      <c r="B173" s="7" t="str">
        <f>CONCATENATE("CNSARG",TEXT(consArgamassa[[#This Row],[Ordem]],"00000"))</f>
        <v>CNSARG00178</v>
      </c>
      <c r="C173" s="7">
        <v>178</v>
      </c>
      <c r="D173" s="10">
        <f>VLOOKUP(consArgamassa[[#This Row],[RecebID]],recebArgamassa[[RecebID]:[Insumo]],3,FALSE)</f>
        <v>45012.125</v>
      </c>
      <c r="E173" s="7" t="str">
        <f>VLOOKUP(consArgamassa[[#This Row],[RecebID]],recebArgamassa[[RecebID]:[Insumo]],4,FALSE)</f>
        <v>Argamassa Estabilizada</v>
      </c>
      <c r="F173" s="1" t="s">
        <v>250</v>
      </c>
      <c r="G173" s="1" t="s">
        <v>255</v>
      </c>
      <c r="H173" s="1">
        <v>7</v>
      </c>
      <c r="I173" s="1" t="s">
        <v>238</v>
      </c>
      <c r="J173" s="1" t="s">
        <v>238</v>
      </c>
      <c r="K173" s="2">
        <v>1</v>
      </c>
      <c r="L173" s="23">
        <f>IFERROR(VLOOKUP(consArgamassa[[#This Row],[Serviço]],Tabela4[],5,FALSE),"")</f>
        <v>0</v>
      </c>
      <c r="M173" s="22">
        <f>VLOOKUP(consArgamassa[[#This Row],[RecebID]],recebArgamassa[],14,FALSE)</f>
        <v>464.75</v>
      </c>
      <c r="N173" s="22">
        <f>IFERROR(VLOOKUP(consArgamassa[[#This Row],[Serviço]],Tabela4[],6,FALSE),"")</f>
        <v>500</v>
      </c>
      <c r="O173" s="1" t="s">
        <v>274</v>
      </c>
      <c r="P173" s="13">
        <v>36892</v>
      </c>
    </row>
    <row r="174" spans="1:16" x14ac:dyDescent="0.25">
      <c r="A174" s="1" t="s">
        <v>196</v>
      </c>
      <c r="B174" s="7" t="str">
        <f>CONCATENATE("CNSARG",TEXT(consArgamassa[[#This Row],[Ordem]],"00000"))</f>
        <v>CNSARG00179</v>
      </c>
      <c r="C174" s="7">
        <v>179</v>
      </c>
      <c r="D174" s="10">
        <f>VLOOKUP(consArgamassa[[#This Row],[RecebID]],recebArgamassa[[RecebID]:[Insumo]],3,FALSE)</f>
        <v>44197</v>
      </c>
      <c r="E174" s="7" t="str">
        <f>VLOOKUP(consArgamassa[[#This Row],[RecebID]],recebArgamassa[[RecebID]:[Insumo]],4,FALSE)</f>
        <v>Argamassa Estabilizada</v>
      </c>
      <c r="F174" s="1" t="s">
        <v>247</v>
      </c>
      <c r="G174" s="1" t="s">
        <v>256</v>
      </c>
      <c r="H174" s="1">
        <v>9</v>
      </c>
      <c r="I174" s="1" t="s">
        <v>9</v>
      </c>
      <c r="K174" s="2">
        <v>1</v>
      </c>
      <c r="L174" s="23">
        <f>IFERROR(VLOOKUP(consArgamassa[[#This Row],[Serviço]],Tabela4[],5,FALSE),"")</f>
        <v>0</v>
      </c>
      <c r="M174" s="22">
        <f>VLOOKUP(consArgamassa[[#This Row],[RecebID]],recebArgamassa[],14,FALSE)</f>
        <v>464.75</v>
      </c>
      <c r="N174" s="22">
        <f>IFERROR(VLOOKUP(consArgamassa[[#This Row],[Serviço]],Tabela4[],6,FALSE),"")</f>
        <v>500</v>
      </c>
      <c r="O174" s="1" t="s">
        <v>274</v>
      </c>
      <c r="P174" s="13">
        <v>36892</v>
      </c>
    </row>
    <row r="175" spans="1:16" x14ac:dyDescent="0.25">
      <c r="A175" s="1" t="s">
        <v>197</v>
      </c>
      <c r="B175" s="7" t="str">
        <f>CONCATENATE("CNSARG",TEXT(consArgamassa[[#This Row],[Ordem]],"00000"))</f>
        <v>CNSARG00180</v>
      </c>
      <c r="C175" s="7">
        <v>180</v>
      </c>
      <c r="D175" s="10">
        <f>VLOOKUP(consArgamassa[[#This Row],[RecebID]],recebArgamassa[[RecebID]:[Insumo]],3,FALSE)</f>
        <v>45013.125</v>
      </c>
      <c r="E175" s="7" t="str">
        <f>VLOOKUP(consArgamassa[[#This Row],[RecebID]],recebArgamassa[[RecebID]:[Insumo]],4,FALSE)</f>
        <v>Argamassa Estabilizada</v>
      </c>
      <c r="F175" s="1" t="s">
        <v>247</v>
      </c>
      <c r="G175" s="1" t="s">
        <v>256</v>
      </c>
      <c r="H175" s="1">
        <v>9</v>
      </c>
      <c r="I175" s="1" t="s">
        <v>9</v>
      </c>
      <c r="K175" s="2">
        <v>1</v>
      </c>
      <c r="L175" s="23">
        <f>IFERROR(VLOOKUP(consArgamassa[[#This Row],[Serviço]],Tabela4[],5,FALSE),"")</f>
        <v>0</v>
      </c>
      <c r="M175" s="22">
        <f>VLOOKUP(consArgamassa[[#This Row],[RecebID]],recebArgamassa[],14,FALSE)</f>
        <v>464.75</v>
      </c>
      <c r="N175" s="22">
        <f>IFERROR(VLOOKUP(consArgamassa[[#This Row],[Serviço]],Tabela4[],6,FALSE),"")</f>
        <v>500</v>
      </c>
      <c r="O175" s="1" t="s">
        <v>274</v>
      </c>
      <c r="P175" s="13">
        <v>36892</v>
      </c>
    </row>
    <row r="176" spans="1:16" x14ac:dyDescent="0.25">
      <c r="A176" s="1" t="s">
        <v>198</v>
      </c>
      <c r="B176" s="7" t="str">
        <f>CONCATENATE("CNSARG",TEXT(consArgamassa[[#This Row],[Ordem]],"00000"))</f>
        <v>CNSARG00182</v>
      </c>
      <c r="C176" s="7">
        <v>182</v>
      </c>
      <c r="D176" s="10">
        <f>VLOOKUP(consArgamassa[[#This Row],[RecebID]],recebArgamassa[[RecebID]:[Insumo]],3,FALSE)</f>
        <v>45014.125</v>
      </c>
      <c r="E176" s="7" t="str">
        <f>VLOOKUP(consArgamassa[[#This Row],[RecebID]],recebArgamassa[[RecebID]:[Insumo]],4,FALSE)</f>
        <v>Argamassa Estabilizada</v>
      </c>
      <c r="F176" s="1" t="s">
        <v>247</v>
      </c>
      <c r="G176" s="1" t="s">
        <v>256</v>
      </c>
      <c r="H176" s="1">
        <v>9</v>
      </c>
      <c r="I176" s="1" t="s">
        <v>9</v>
      </c>
      <c r="K176" s="2">
        <v>1</v>
      </c>
      <c r="L176" s="23">
        <f>IFERROR(VLOOKUP(consArgamassa[[#This Row],[Serviço]],Tabela4[],5,FALSE),"")</f>
        <v>0</v>
      </c>
      <c r="M176" s="22">
        <f>VLOOKUP(consArgamassa[[#This Row],[RecebID]],recebArgamassa[],14,FALSE)</f>
        <v>464.75</v>
      </c>
      <c r="N176" s="22">
        <f>IFERROR(VLOOKUP(consArgamassa[[#This Row],[Serviço]],Tabela4[],6,FALSE),"")</f>
        <v>500</v>
      </c>
      <c r="O176" s="1" t="s">
        <v>274</v>
      </c>
      <c r="P176" s="13">
        <v>36892</v>
      </c>
    </row>
    <row r="177" spans="1:16" x14ac:dyDescent="0.25">
      <c r="A177" s="1" t="s">
        <v>199</v>
      </c>
      <c r="B177" s="7" t="str">
        <f>CONCATENATE("CNSARG",TEXT(consArgamassa[[#This Row],[Ordem]],"00000"))</f>
        <v>CNSARG00183</v>
      </c>
      <c r="C177" s="7">
        <v>183</v>
      </c>
      <c r="D177" s="10">
        <f>VLOOKUP(consArgamassa[[#This Row],[RecebID]],recebArgamassa[[RecebID]:[Insumo]],3,FALSE)</f>
        <v>45015.125</v>
      </c>
      <c r="E177" s="7" t="str">
        <f>VLOOKUP(consArgamassa[[#This Row],[RecebID]],recebArgamassa[[RecebID]:[Insumo]],4,FALSE)</f>
        <v>Argamassa Estabilizada</v>
      </c>
      <c r="F177" s="1" t="s">
        <v>250</v>
      </c>
      <c r="G177" s="1" t="s">
        <v>270</v>
      </c>
      <c r="H177" s="1" t="s">
        <v>296</v>
      </c>
      <c r="I177" s="1" t="s">
        <v>10</v>
      </c>
      <c r="J177" s="1" t="s">
        <v>240</v>
      </c>
      <c r="K177" s="2">
        <v>1</v>
      </c>
      <c r="L177" s="23">
        <f>IFERROR(VLOOKUP(consArgamassa[[#This Row],[Serviço]],Tabela4[],5,FALSE),"")</f>
        <v>0</v>
      </c>
      <c r="M177" s="22">
        <f>VLOOKUP(consArgamassa[[#This Row],[RecebID]],recebArgamassa[],14,FALSE)</f>
        <v>464.75</v>
      </c>
      <c r="N177" s="22">
        <f>IFERROR(VLOOKUP(consArgamassa[[#This Row],[Serviço]],Tabela4[],6,FALSE),"")</f>
        <v>500</v>
      </c>
      <c r="O177" s="1" t="s">
        <v>274</v>
      </c>
      <c r="P177" s="13">
        <v>36892</v>
      </c>
    </row>
    <row r="178" spans="1:16" x14ac:dyDescent="0.25">
      <c r="A178" s="1" t="s">
        <v>200</v>
      </c>
      <c r="B178" s="7" t="str">
        <f>CONCATENATE("CNSARG",TEXT(consArgamassa[[#This Row],[Ordem]],"00000"))</f>
        <v>CNSARG00184</v>
      </c>
      <c r="C178" s="7">
        <v>184</v>
      </c>
      <c r="D178" s="10">
        <f>VLOOKUP(consArgamassa[[#This Row],[RecebID]],recebArgamassa[[RecebID]:[Insumo]],3,FALSE)</f>
        <v>45016.125</v>
      </c>
      <c r="E178" s="7" t="str">
        <f>VLOOKUP(consArgamassa[[#This Row],[RecebID]],recebArgamassa[[RecebID]:[Insumo]],4,FALSE)</f>
        <v>Argamassa Estabilizada</v>
      </c>
      <c r="F178" s="1" t="s">
        <v>250</v>
      </c>
      <c r="G178" s="1" t="s">
        <v>270</v>
      </c>
      <c r="H178" s="1" t="s">
        <v>297</v>
      </c>
      <c r="I178" s="1" t="s">
        <v>10</v>
      </c>
      <c r="J178" s="1" t="s">
        <v>246</v>
      </c>
      <c r="K178" s="2">
        <v>1</v>
      </c>
      <c r="L178" s="23">
        <f>IFERROR(VLOOKUP(consArgamassa[[#This Row],[Serviço]],Tabela4[],5,FALSE),"")</f>
        <v>0</v>
      </c>
      <c r="M178" s="22">
        <f>VLOOKUP(consArgamassa[[#This Row],[RecebID]],recebArgamassa[],14,FALSE)</f>
        <v>464.75</v>
      </c>
      <c r="N178" s="22">
        <f>IFERROR(VLOOKUP(consArgamassa[[#This Row],[Serviço]],Tabela4[],6,FALSE),"")</f>
        <v>500</v>
      </c>
      <c r="O178" s="1" t="s">
        <v>274</v>
      </c>
      <c r="P178" s="13">
        <v>36892</v>
      </c>
    </row>
    <row r="179" spans="1:16" x14ac:dyDescent="0.25">
      <c r="A179" s="1" t="s">
        <v>201</v>
      </c>
      <c r="B179" s="7" t="str">
        <f>CONCATENATE("CNSARG",TEXT(consArgamassa[[#This Row],[Ordem]],"00000"))</f>
        <v>CNSARG00185</v>
      </c>
      <c r="C179" s="7">
        <v>185</v>
      </c>
      <c r="D179" s="10">
        <f>VLOOKUP(consArgamassa[[#This Row],[RecebID]],recebArgamassa[[RecebID]:[Insumo]],3,FALSE)</f>
        <v>45019.125</v>
      </c>
      <c r="E179" s="7" t="str">
        <f>VLOOKUP(consArgamassa[[#This Row],[RecebID]],recebArgamassa[[RecebID]:[Insumo]],4,FALSE)</f>
        <v>Argamassa Estabilizada</v>
      </c>
      <c r="F179" s="1" t="s">
        <v>239</v>
      </c>
      <c r="G179" s="1" t="s">
        <v>270</v>
      </c>
      <c r="H179" s="1" t="s">
        <v>297</v>
      </c>
      <c r="I179" s="1" t="s">
        <v>10</v>
      </c>
      <c r="J179" s="1" t="s">
        <v>239</v>
      </c>
      <c r="K179" s="2">
        <v>2</v>
      </c>
      <c r="L179" s="23">
        <f>IFERROR(VLOOKUP(consArgamassa[[#This Row],[Serviço]],Tabela4[],5,FALSE),"")</f>
        <v>0</v>
      </c>
      <c r="M179" s="22">
        <f>VLOOKUP(consArgamassa[[#This Row],[RecebID]],recebArgamassa[],14,FALSE)</f>
        <v>464.75</v>
      </c>
      <c r="N179" s="22">
        <f>IFERROR(VLOOKUP(consArgamassa[[#This Row],[Serviço]],Tabela4[],6,FALSE),"")</f>
        <v>500</v>
      </c>
      <c r="O179" s="1" t="s">
        <v>274</v>
      </c>
      <c r="P179" s="13">
        <v>36892</v>
      </c>
    </row>
    <row r="180" spans="1:16" x14ac:dyDescent="0.25">
      <c r="A180" s="1" t="s">
        <v>202</v>
      </c>
      <c r="B180" s="7" t="str">
        <f>CONCATENATE("CNSARG",TEXT(consArgamassa[[#This Row],[Ordem]],"00000"))</f>
        <v>CNSARG00186</v>
      </c>
      <c r="C180" s="7">
        <v>186</v>
      </c>
      <c r="D180" s="10">
        <f>VLOOKUP(consArgamassa[[#This Row],[RecebID]],recebArgamassa[[RecebID]:[Insumo]],3,FALSE)</f>
        <v>45020.125</v>
      </c>
      <c r="E180" s="7" t="str">
        <f>VLOOKUP(consArgamassa[[#This Row],[RecebID]],recebArgamassa[[RecebID]:[Insumo]],4,FALSE)</f>
        <v>Argamassa Estabilizada</v>
      </c>
      <c r="F180" s="1" t="s">
        <v>239</v>
      </c>
      <c r="G180" s="1" t="s">
        <v>270</v>
      </c>
      <c r="H180" s="1" t="s">
        <v>297</v>
      </c>
      <c r="I180" s="1" t="s">
        <v>10</v>
      </c>
      <c r="J180" s="1" t="s">
        <v>239</v>
      </c>
      <c r="K180" s="2">
        <v>1</v>
      </c>
      <c r="L180" s="23">
        <f>IFERROR(VLOOKUP(consArgamassa[[#This Row],[Serviço]],Tabela4[],5,FALSE),"")</f>
        <v>0</v>
      </c>
      <c r="M180" s="22">
        <f>VLOOKUP(consArgamassa[[#This Row],[RecebID]],recebArgamassa[],14,FALSE)</f>
        <v>464.75</v>
      </c>
      <c r="N180" s="22">
        <f>IFERROR(VLOOKUP(consArgamassa[[#This Row],[Serviço]],Tabela4[],6,FALSE),"")</f>
        <v>500</v>
      </c>
      <c r="O180" s="1" t="s">
        <v>274</v>
      </c>
      <c r="P180" s="13">
        <v>36892</v>
      </c>
    </row>
    <row r="181" spans="1:16" x14ac:dyDescent="0.25">
      <c r="A181" s="1" t="s">
        <v>203</v>
      </c>
      <c r="B181" s="7" t="str">
        <f>CONCATENATE("CNSARG",TEXT(consArgamassa[[#This Row],[Ordem]],"00000"))</f>
        <v>CNSARG00187</v>
      </c>
      <c r="C181" s="7">
        <v>187</v>
      </c>
      <c r="D181" s="10">
        <f>VLOOKUP(consArgamassa[[#This Row],[RecebID]],recebArgamassa[[RecebID]:[Insumo]],3,FALSE)</f>
        <v>45021.125</v>
      </c>
      <c r="E181" s="7" t="str">
        <f>VLOOKUP(consArgamassa[[#This Row],[RecebID]],recebArgamassa[[RecebID]:[Insumo]],4,FALSE)</f>
        <v>Argamassa Estabilizada</v>
      </c>
      <c r="F181" s="1" t="s">
        <v>264</v>
      </c>
      <c r="G181" s="1" t="s">
        <v>255</v>
      </c>
      <c r="H181" s="1">
        <v>2</v>
      </c>
      <c r="I181" s="1" t="s">
        <v>9</v>
      </c>
      <c r="K181" s="2">
        <v>3.5</v>
      </c>
      <c r="L181" s="23">
        <f>IFERROR(VLOOKUP(consArgamassa[[#This Row],[Serviço]],Tabela4[],5,FALSE),"")</f>
        <v>1.3352499999999998</v>
      </c>
      <c r="M181" s="22">
        <f>VLOOKUP(consArgamassa[[#This Row],[RecebID]],recebArgamassa[],14,FALSE)</f>
        <v>464.75</v>
      </c>
      <c r="N181" s="22">
        <f>IFERROR(VLOOKUP(consArgamassa[[#This Row],[Serviço]],Tabela4[],6,FALSE),"")</f>
        <v>500</v>
      </c>
      <c r="O181" s="1" t="s">
        <v>274</v>
      </c>
      <c r="P181" s="13">
        <v>36892</v>
      </c>
    </row>
    <row r="182" spans="1:16" x14ac:dyDescent="0.25">
      <c r="A182" s="1" t="s">
        <v>204</v>
      </c>
      <c r="B182" s="7" t="str">
        <f>CONCATENATE("CNSARG",TEXT(consArgamassa[[#This Row],[Ordem]],"00000"))</f>
        <v>CNSARG00188</v>
      </c>
      <c r="C182" s="7">
        <v>188</v>
      </c>
      <c r="D182" s="10">
        <f>VLOOKUP(consArgamassa[[#This Row],[RecebID]],recebArgamassa[[RecebID]:[Insumo]],3,FALSE)</f>
        <v>45026.125</v>
      </c>
      <c r="E182" s="7" t="str">
        <f>VLOOKUP(consArgamassa[[#This Row],[RecebID]],recebArgamassa[[RecebID]:[Insumo]],4,FALSE)</f>
        <v>Argamassa Estabilizada</v>
      </c>
      <c r="F182" s="1" t="s">
        <v>250</v>
      </c>
      <c r="G182" s="1" t="s">
        <v>256</v>
      </c>
      <c r="H182" s="1">
        <v>9</v>
      </c>
      <c r="I182" s="1" t="s">
        <v>238</v>
      </c>
      <c r="J182" s="1" t="s">
        <v>238</v>
      </c>
      <c r="K182" s="2">
        <v>1</v>
      </c>
      <c r="L182" s="23">
        <f>IFERROR(VLOOKUP(consArgamassa[[#This Row],[Serviço]],Tabela4[],5,FALSE),"")</f>
        <v>0</v>
      </c>
      <c r="M182" s="22">
        <f>VLOOKUP(consArgamassa[[#This Row],[RecebID]],recebArgamassa[],14,FALSE)</f>
        <v>464.75</v>
      </c>
      <c r="N182" s="22">
        <f>IFERROR(VLOOKUP(consArgamassa[[#This Row],[Serviço]],Tabela4[],6,FALSE),"")</f>
        <v>500</v>
      </c>
      <c r="O182" s="1" t="s">
        <v>274</v>
      </c>
      <c r="P182" s="13">
        <v>36892</v>
      </c>
    </row>
    <row r="183" spans="1:16" x14ac:dyDescent="0.25">
      <c r="A183" s="1" t="s">
        <v>205</v>
      </c>
      <c r="B183" s="7" t="str">
        <f>CONCATENATE("CNSARG",TEXT(consArgamassa[[#This Row],[Ordem]],"00000"))</f>
        <v>CNSARG00189</v>
      </c>
      <c r="C183" s="7">
        <v>189</v>
      </c>
      <c r="D183" s="10">
        <f>VLOOKUP(consArgamassa[[#This Row],[RecebID]],recebArgamassa[[RecebID]:[Insumo]],3,FALSE)</f>
        <v>45027.125</v>
      </c>
      <c r="E183" s="7" t="str">
        <f>VLOOKUP(consArgamassa[[#This Row],[RecebID]],recebArgamassa[[RecebID]:[Insumo]],4,FALSE)</f>
        <v>Argamassa Estabilizada</v>
      </c>
      <c r="F183" s="1" t="s">
        <v>247</v>
      </c>
      <c r="G183" s="1" t="s">
        <v>255</v>
      </c>
      <c r="H183" s="1">
        <v>9</v>
      </c>
      <c r="I183" s="1" t="s">
        <v>7</v>
      </c>
      <c r="K183" s="2">
        <v>1.5</v>
      </c>
      <c r="L183" s="23">
        <f>IFERROR(VLOOKUP(consArgamassa[[#This Row],[Serviço]],Tabela4[],5,FALSE),"")</f>
        <v>0</v>
      </c>
      <c r="M183" s="22">
        <f>VLOOKUP(consArgamassa[[#This Row],[RecebID]],recebArgamassa[],14,FALSE)</f>
        <v>464.75</v>
      </c>
      <c r="N183" s="22">
        <f>IFERROR(VLOOKUP(consArgamassa[[#This Row],[Serviço]],Tabela4[],6,FALSE),"")</f>
        <v>500</v>
      </c>
      <c r="O183" s="1" t="s">
        <v>274</v>
      </c>
      <c r="P183" s="13">
        <v>36892</v>
      </c>
    </row>
    <row r="184" spans="1:16" x14ac:dyDescent="0.25">
      <c r="A184" s="1" t="s">
        <v>206</v>
      </c>
      <c r="B184" s="7" t="str">
        <f>CONCATENATE("CNSARG",TEXT(consArgamassa[[#This Row],[Ordem]],"00000"))</f>
        <v>CNSARG00190</v>
      </c>
      <c r="C184" s="7">
        <v>190</v>
      </c>
      <c r="D184" s="10">
        <f>VLOOKUP(consArgamassa[[#This Row],[RecebID]],recebArgamassa[[RecebID]:[Insumo]],3,FALSE)</f>
        <v>45028.125</v>
      </c>
      <c r="E184" s="7" t="str">
        <f>VLOOKUP(consArgamassa[[#This Row],[RecebID]],recebArgamassa[[RecebID]:[Insumo]],4,FALSE)</f>
        <v>Argamassa Estabilizada</v>
      </c>
      <c r="F184" s="1" t="s">
        <v>250</v>
      </c>
      <c r="G184" s="1" t="s">
        <v>270</v>
      </c>
      <c r="H184" s="1" t="s">
        <v>296</v>
      </c>
      <c r="I184" s="1" t="s">
        <v>10</v>
      </c>
      <c r="J184" s="1" t="s">
        <v>243</v>
      </c>
      <c r="K184" s="2">
        <v>1</v>
      </c>
      <c r="L184" s="23">
        <f>IFERROR(VLOOKUP(consArgamassa[[#This Row],[Serviço]],Tabela4[],5,FALSE),"")</f>
        <v>0</v>
      </c>
      <c r="M184" s="22">
        <f>VLOOKUP(consArgamassa[[#This Row],[RecebID]],recebArgamassa[],14,FALSE)</f>
        <v>464.75</v>
      </c>
      <c r="N184" s="22">
        <f>IFERROR(VLOOKUP(consArgamassa[[#This Row],[Serviço]],Tabela4[],6,FALSE),"")</f>
        <v>500</v>
      </c>
      <c r="O184" s="1" t="s">
        <v>274</v>
      </c>
      <c r="P184" s="13">
        <v>36892</v>
      </c>
    </row>
    <row r="185" spans="1:16" x14ac:dyDescent="0.25">
      <c r="A185" s="1" t="s">
        <v>207</v>
      </c>
      <c r="B185" s="7" t="str">
        <f>CONCATENATE("CNSARG",TEXT(consArgamassa[[#This Row],[Ordem]],"00000"))</f>
        <v>CNSARG00191</v>
      </c>
      <c r="C185" s="7">
        <v>191</v>
      </c>
      <c r="D185" s="10">
        <f>VLOOKUP(consArgamassa[[#This Row],[RecebID]],recebArgamassa[[RecebID]:[Insumo]],3,FALSE)</f>
        <v>45029.125</v>
      </c>
      <c r="E185" s="7" t="str">
        <f>VLOOKUP(consArgamassa[[#This Row],[RecebID]],recebArgamassa[[RecebID]:[Insumo]],4,FALSE)</f>
        <v>Argamassa Estabilizada</v>
      </c>
      <c r="F185" s="1" t="s">
        <v>264</v>
      </c>
      <c r="G185" s="1" t="s">
        <v>256</v>
      </c>
      <c r="H185" s="1">
        <v>2</v>
      </c>
      <c r="I185" s="1" t="s">
        <v>9</v>
      </c>
      <c r="K185" s="2">
        <v>1</v>
      </c>
      <c r="L185" s="23">
        <f>IFERROR(VLOOKUP(consArgamassa[[#This Row],[Serviço]],Tabela4[],5,FALSE),"")</f>
        <v>1.3352499999999998</v>
      </c>
      <c r="M185" s="22">
        <f>VLOOKUP(consArgamassa[[#This Row],[RecebID]],recebArgamassa[],14,FALSE)</f>
        <v>464.75</v>
      </c>
      <c r="N185" s="22">
        <f>IFERROR(VLOOKUP(consArgamassa[[#This Row],[Serviço]],Tabela4[],6,FALSE),"")</f>
        <v>500</v>
      </c>
      <c r="O185" s="1" t="s">
        <v>274</v>
      </c>
      <c r="P185" s="13">
        <v>36892</v>
      </c>
    </row>
    <row r="186" spans="1:16" x14ac:dyDescent="0.25">
      <c r="A186" s="1" t="s">
        <v>208</v>
      </c>
      <c r="B186" s="7" t="str">
        <f>CONCATENATE("CNSARG",TEXT(consArgamassa[[#This Row],[Ordem]],"00000"))</f>
        <v>CNSARG00192</v>
      </c>
      <c r="C186" s="7">
        <v>192</v>
      </c>
      <c r="D186" s="10">
        <f>VLOOKUP(consArgamassa[[#This Row],[RecebID]],recebArgamassa[[RecebID]:[Insumo]],3,FALSE)</f>
        <v>45030.125</v>
      </c>
      <c r="E186" s="7" t="str">
        <f>VLOOKUP(consArgamassa[[#This Row],[RecebID]],recebArgamassa[[RecebID]:[Insumo]],4,FALSE)</f>
        <v>Argamassa Estabilizada</v>
      </c>
      <c r="F186" s="1" t="s">
        <v>264</v>
      </c>
      <c r="G186" s="1" t="s">
        <v>256</v>
      </c>
      <c r="H186" s="1">
        <v>2</v>
      </c>
      <c r="I186" s="1" t="s">
        <v>8</v>
      </c>
      <c r="K186" s="2">
        <v>4</v>
      </c>
      <c r="L186" s="23">
        <f>IFERROR(VLOOKUP(consArgamassa[[#This Row],[Serviço]],Tabela4[],5,FALSE),"")</f>
        <v>1.3352499999999998</v>
      </c>
      <c r="M186" s="22">
        <f>VLOOKUP(consArgamassa[[#This Row],[RecebID]],recebArgamassa[],14,FALSE)</f>
        <v>464.75</v>
      </c>
      <c r="N186" s="22">
        <f>IFERROR(VLOOKUP(consArgamassa[[#This Row],[Serviço]],Tabela4[],6,FALSE),"")</f>
        <v>500</v>
      </c>
      <c r="O186" s="1" t="s">
        <v>274</v>
      </c>
      <c r="P186" s="13">
        <v>36892</v>
      </c>
    </row>
    <row r="187" spans="1:16" x14ac:dyDescent="0.25">
      <c r="A187" s="1" t="s">
        <v>209</v>
      </c>
      <c r="B187" s="7" t="str">
        <f>CONCATENATE("CNSARG",TEXT(consArgamassa[[#This Row],[Ordem]],"00000"))</f>
        <v>CNSARG00193</v>
      </c>
      <c r="C187" s="7">
        <v>193</v>
      </c>
      <c r="D187" s="10">
        <f>VLOOKUP(consArgamassa[[#This Row],[RecebID]],recebArgamassa[[RecebID]:[Insumo]],3,FALSE)</f>
        <v>45033.125</v>
      </c>
      <c r="E187" s="7" t="str">
        <f>VLOOKUP(consArgamassa[[#This Row],[RecebID]],recebArgamassa[[RecebID]:[Insumo]],4,FALSE)</f>
        <v>Argamassa Estabilizada</v>
      </c>
      <c r="F187" s="1" t="s">
        <v>264</v>
      </c>
      <c r="G187" s="1" t="s">
        <v>256</v>
      </c>
      <c r="H187" s="1">
        <v>2</v>
      </c>
      <c r="I187" s="1" t="s">
        <v>8</v>
      </c>
      <c r="K187" s="2">
        <v>2</v>
      </c>
      <c r="L187" s="23">
        <f>IFERROR(VLOOKUP(consArgamassa[[#This Row],[Serviço]],Tabela4[],5,FALSE),"")</f>
        <v>1.3352499999999998</v>
      </c>
      <c r="M187" s="22">
        <f>VLOOKUP(consArgamassa[[#This Row],[RecebID]],recebArgamassa[],14,FALSE)</f>
        <v>464.75</v>
      </c>
      <c r="N187" s="22">
        <f>IFERROR(VLOOKUP(consArgamassa[[#This Row],[Serviço]],Tabela4[],6,FALSE),"")</f>
        <v>500</v>
      </c>
      <c r="O187" s="1" t="s">
        <v>274</v>
      </c>
      <c r="P187" s="13">
        <v>36892</v>
      </c>
    </row>
    <row r="188" spans="1:16" x14ac:dyDescent="0.25">
      <c r="A188" s="1" t="s">
        <v>210</v>
      </c>
      <c r="B188" s="7" t="str">
        <f>CONCATENATE("CNSARG",TEXT(consArgamassa[[#This Row],[Ordem]],"00000"))</f>
        <v>CNSARG00194</v>
      </c>
      <c r="C188" s="7">
        <v>194</v>
      </c>
      <c r="D188" s="10">
        <f>VLOOKUP(consArgamassa[[#This Row],[RecebID]],recebArgamassa[[RecebID]:[Insumo]],3,FALSE)</f>
        <v>45034.125</v>
      </c>
      <c r="E188" s="7" t="str">
        <f>VLOOKUP(consArgamassa[[#This Row],[RecebID]],recebArgamassa[[RecebID]:[Insumo]],4,FALSE)</f>
        <v>Argamassa Estabilizada</v>
      </c>
      <c r="F188" s="1" t="s">
        <v>264</v>
      </c>
      <c r="G188" s="1" t="s">
        <v>256</v>
      </c>
      <c r="H188" s="1">
        <v>2</v>
      </c>
      <c r="I188" s="1" t="s">
        <v>7</v>
      </c>
      <c r="K188" s="2">
        <v>2</v>
      </c>
      <c r="L188" s="23">
        <f>IFERROR(VLOOKUP(consArgamassa[[#This Row],[Serviço]],Tabela4[],5,FALSE),"")</f>
        <v>1.3352499999999998</v>
      </c>
      <c r="M188" s="22">
        <f>VLOOKUP(consArgamassa[[#This Row],[RecebID]],recebArgamassa[],14,FALSE)</f>
        <v>464.75</v>
      </c>
      <c r="N188" s="22">
        <f>IFERROR(VLOOKUP(consArgamassa[[#This Row],[Serviço]],Tabela4[],6,FALSE),"")</f>
        <v>500</v>
      </c>
      <c r="O188" s="1" t="s">
        <v>274</v>
      </c>
      <c r="P188" s="13">
        <v>36892</v>
      </c>
    </row>
    <row r="189" spans="1:16" x14ac:dyDescent="0.25">
      <c r="A189" s="1" t="s">
        <v>211</v>
      </c>
      <c r="B189" s="7" t="str">
        <f>CONCATENATE("CNSARG",TEXT(consArgamassa[[#This Row],[Ordem]],"00000"))</f>
        <v>CNSARG00195</v>
      </c>
      <c r="C189" s="7">
        <v>195</v>
      </c>
      <c r="D189" s="10">
        <f>VLOOKUP(consArgamassa[[#This Row],[RecebID]],recebArgamassa[[RecebID]:[Insumo]],3,FALSE)</f>
        <v>45035.125</v>
      </c>
      <c r="E189" s="7" t="str">
        <f>VLOOKUP(consArgamassa[[#This Row],[RecebID]],recebArgamassa[[RecebID]:[Insumo]],4,FALSE)</f>
        <v>Argamassa Estabilizada</v>
      </c>
      <c r="F189" s="1" t="s">
        <v>264</v>
      </c>
      <c r="G189" s="1" t="s">
        <v>256</v>
      </c>
      <c r="H189" s="1">
        <v>2</v>
      </c>
      <c r="I189" s="1" t="s">
        <v>10</v>
      </c>
      <c r="K189" s="2">
        <v>5</v>
      </c>
      <c r="L189" s="23">
        <f>IFERROR(VLOOKUP(consArgamassa[[#This Row],[Serviço]],Tabela4[],5,FALSE),"")</f>
        <v>1.3352499999999998</v>
      </c>
      <c r="M189" s="22">
        <f>VLOOKUP(consArgamassa[[#This Row],[RecebID]],recebArgamassa[],14,FALSE)</f>
        <v>464.75</v>
      </c>
      <c r="N189" s="22">
        <f>IFERROR(VLOOKUP(consArgamassa[[#This Row],[Serviço]],Tabela4[],6,FALSE),"")</f>
        <v>500</v>
      </c>
      <c r="O189" s="1" t="s">
        <v>274</v>
      </c>
      <c r="P189" s="13">
        <v>36892</v>
      </c>
    </row>
    <row r="190" spans="1:16" x14ac:dyDescent="0.25">
      <c r="A190" s="1" t="s">
        <v>212</v>
      </c>
      <c r="B190" s="7" t="str">
        <f>CONCATENATE("CNSARG",TEXT(consArgamassa[[#This Row],[Ordem]],"00000"))</f>
        <v>CNSARG00196</v>
      </c>
      <c r="C190" s="7">
        <v>196</v>
      </c>
      <c r="D190" s="10">
        <f>VLOOKUP(consArgamassa[[#This Row],[RecebID]],recebArgamassa[[RecebID]:[Insumo]],3,FALSE)</f>
        <v>45040.125</v>
      </c>
      <c r="E190" s="7" t="str">
        <f>VLOOKUP(consArgamassa[[#This Row],[RecebID]],recebArgamassa[[RecebID]:[Insumo]],4,FALSE)</f>
        <v>Argamassa Estabilizada</v>
      </c>
      <c r="F190" s="1" t="s">
        <v>250</v>
      </c>
      <c r="G190" s="1" t="s">
        <v>270</v>
      </c>
      <c r="H190" s="1" t="s">
        <v>296</v>
      </c>
      <c r="I190" s="1" t="s">
        <v>10</v>
      </c>
      <c r="J190" s="1" t="s">
        <v>243</v>
      </c>
      <c r="K190" s="2">
        <v>1</v>
      </c>
      <c r="L190" s="23">
        <f>IFERROR(VLOOKUP(consArgamassa[[#This Row],[Serviço]],Tabela4[],5,FALSE),"")</f>
        <v>0</v>
      </c>
      <c r="M190" s="22">
        <f>VLOOKUP(consArgamassa[[#This Row],[RecebID]],recebArgamassa[],14,FALSE)</f>
        <v>464.75</v>
      </c>
      <c r="N190" s="22">
        <f>IFERROR(VLOOKUP(consArgamassa[[#This Row],[Serviço]],Tabela4[],6,FALSE),"")</f>
        <v>500</v>
      </c>
      <c r="O190" s="1" t="s">
        <v>274</v>
      </c>
      <c r="P190" s="13">
        <v>36892</v>
      </c>
    </row>
    <row r="191" spans="1:16" x14ac:dyDescent="0.25">
      <c r="A191" s="1" t="s">
        <v>213</v>
      </c>
      <c r="B191" s="7" t="str">
        <f>CONCATENATE("CNSARG",TEXT(consArgamassa[[#This Row],[Ordem]],"00000"))</f>
        <v>CNSARG00197</v>
      </c>
      <c r="C191" s="7">
        <v>197</v>
      </c>
      <c r="D191" s="10">
        <f>VLOOKUP(consArgamassa[[#This Row],[RecebID]],recebArgamassa[[RecebID]:[Insumo]],3,FALSE)</f>
        <v>45041.125</v>
      </c>
      <c r="E191" s="7" t="str">
        <f>VLOOKUP(consArgamassa[[#This Row],[RecebID]],recebArgamassa[[RecebID]:[Insumo]],4,FALSE)</f>
        <v>Argamassa Estabilizada</v>
      </c>
      <c r="F191" s="1" t="s">
        <v>250</v>
      </c>
      <c r="G191" s="1" t="s">
        <v>270</v>
      </c>
      <c r="H191" s="1" t="s">
        <v>297</v>
      </c>
      <c r="I191" s="1" t="s">
        <v>10</v>
      </c>
      <c r="J191" s="1" t="s">
        <v>246</v>
      </c>
      <c r="K191" s="2">
        <v>1</v>
      </c>
      <c r="L191" s="23">
        <f>IFERROR(VLOOKUP(consArgamassa[[#This Row],[Serviço]],Tabela4[],5,FALSE),"")</f>
        <v>0</v>
      </c>
      <c r="M191" s="22">
        <f>VLOOKUP(consArgamassa[[#This Row],[RecebID]],recebArgamassa[],14,FALSE)</f>
        <v>464.75</v>
      </c>
      <c r="N191" s="22">
        <f>IFERROR(VLOOKUP(consArgamassa[[#This Row],[Serviço]],Tabela4[],6,FALSE),"")</f>
        <v>500</v>
      </c>
      <c r="O191" s="1" t="s">
        <v>274</v>
      </c>
      <c r="P191" s="13">
        <v>36892</v>
      </c>
    </row>
    <row r="192" spans="1:16" x14ac:dyDescent="0.25">
      <c r="A192" s="1" t="s">
        <v>214</v>
      </c>
      <c r="B192" s="7" t="str">
        <f>CONCATENATE("CNSARG",TEXT(consArgamassa[[#This Row],[Ordem]],"00000"))</f>
        <v>CNSARG00198</v>
      </c>
      <c r="C192" s="7">
        <v>198</v>
      </c>
      <c r="D192" s="10">
        <f>VLOOKUP(consArgamassa[[#This Row],[RecebID]],recebArgamassa[[RecebID]:[Insumo]],3,FALSE)</f>
        <v>44197</v>
      </c>
      <c r="E192" s="7" t="str">
        <f>VLOOKUP(consArgamassa[[#This Row],[RecebID]],recebArgamassa[[RecebID]:[Insumo]],4,FALSE)</f>
        <v>Argamassa Estabilizada</v>
      </c>
      <c r="F192" s="1" t="s">
        <v>264</v>
      </c>
      <c r="G192" s="1" t="s">
        <v>255</v>
      </c>
      <c r="H192" s="1">
        <v>2</v>
      </c>
      <c r="I192" s="1" t="s">
        <v>9</v>
      </c>
      <c r="K192" s="2">
        <v>2</v>
      </c>
      <c r="L192" s="23">
        <f>IFERROR(VLOOKUP(consArgamassa[[#This Row],[Serviço]],Tabela4[],5,FALSE),"")</f>
        <v>1.3352499999999998</v>
      </c>
      <c r="M192" s="22">
        <f>VLOOKUP(consArgamassa[[#This Row],[RecebID]],recebArgamassa[],14,FALSE)</f>
        <v>464.75</v>
      </c>
      <c r="N192" s="22">
        <f>IFERROR(VLOOKUP(consArgamassa[[#This Row],[Serviço]],Tabela4[],6,FALSE),"")</f>
        <v>500</v>
      </c>
      <c r="O192" s="1" t="s">
        <v>274</v>
      </c>
      <c r="P192" s="13">
        <v>36892</v>
      </c>
    </row>
    <row r="193" spans="1:16" x14ac:dyDescent="0.25">
      <c r="A193" s="1" t="s">
        <v>215</v>
      </c>
      <c r="B193" s="7" t="str">
        <f>CONCATENATE("CNSARG",TEXT(consArgamassa[[#This Row],[Ordem]],"00000"))</f>
        <v>CNSARG00199</v>
      </c>
      <c r="C193" s="7">
        <v>199</v>
      </c>
      <c r="D193" s="10">
        <f>VLOOKUP(consArgamassa[[#This Row],[RecebID]],recebArgamassa[[RecebID]:[Insumo]],3,FALSE)</f>
        <v>45044.125</v>
      </c>
      <c r="E193" s="7" t="str">
        <f>VLOOKUP(consArgamassa[[#This Row],[RecebID]],recebArgamassa[[RecebID]:[Insumo]],4,FALSE)</f>
        <v>Argamassa Estabilizada</v>
      </c>
      <c r="F193" s="1" t="s">
        <v>264</v>
      </c>
      <c r="G193" s="1" t="s">
        <v>255</v>
      </c>
      <c r="H193" s="1">
        <v>2</v>
      </c>
      <c r="I193" s="1" t="s">
        <v>9</v>
      </c>
      <c r="K193" s="2">
        <v>2</v>
      </c>
      <c r="L193" s="23">
        <f>IFERROR(VLOOKUP(consArgamassa[[#This Row],[Serviço]],Tabela4[],5,FALSE),"")</f>
        <v>1.3352499999999998</v>
      </c>
      <c r="M193" s="22">
        <f>VLOOKUP(consArgamassa[[#This Row],[RecebID]],recebArgamassa[],14,FALSE)</f>
        <v>464.75</v>
      </c>
      <c r="N193" s="22">
        <f>IFERROR(VLOOKUP(consArgamassa[[#This Row],[Serviço]],Tabela4[],6,FALSE),"")</f>
        <v>500</v>
      </c>
      <c r="O193" s="1" t="s">
        <v>274</v>
      </c>
      <c r="P193" s="13">
        <v>36892</v>
      </c>
    </row>
    <row r="194" spans="1:16" x14ac:dyDescent="0.25">
      <c r="A194" s="1" t="s">
        <v>216</v>
      </c>
      <c r="B194" s="7" t="str">
        <f>CONCATENATE("CNSARG",TEXT(consArgamassa[[#This Row],[Ordem]],"00000"))</f>
        <v>CNSARG00200</v>
      </c>
      <c r="C194" s="7">
        <v>200</v>
      </c>
      <c r="D194" s="10">
        <f>VLOOKUP(consArgamassa[[#This Row],[RecebID]],recebArgamassa[[RecebID]:[Insumo]],3,FALSE)</f>
        <v>45048.125</v>
      </c>
      <c r="E194" s="7" t="str">
        <f>VLOOKUP(consArgamassa[[#This Row],[RecebID]],recebArgamassa[[RecebID]:[Insumo]],4,FALSE)</f>
        <v>Argamassa Estabilizada</v>
      </c>
      <c r="F194" s="1" t="s">
        <v>250</v>
      </c>
      <c r="G194" s="1" t="s">
        <v>270</v>
      </c>
      <c r="H194" s="1" t="s">
        <v>297</v>
      </c>
      <c r="I194" s="1" t="s">
        <v>10</v>
      </c>
      <c r="J194" s="1" t="s">
        <v>246</v>
      </c>
      <c r="K194" s="2">
        <v>1</v>
      </c>
      <c r="L194" s="23">
        <f>IFERROR(VLOOKUP(consArgamassa[[#This Row],[Serviço]],Tabela4[],5,FALSE),"")</f>
        <v>0</v>
      </c>
      <c r="M194" s="22">
        <f>VLOOKUP(consArgamassa[[#This Row],[RecebID]],recebArgamassa[],14,FALSE)</f>
        <v>464.75</v>
      </c>
      <c r="N194" s="22">
        <f>IFERROR(VLOOKUP(consArgamassa[[#This Row],[Serviço]],Tabela4[],6,FALSE),"")</f>
        <v>500</v>
      </c>
      <c r="O194" s="1" t="s">
        <v>274</v>
      </c>
      <c r="P194" s="13">
        <v>36892</v>
      </c>
    </row>
    <row r="195" spans="1:16" x14ac:dyDescent="0.25">
      <c r="A195" s="1" t="s">
        <v>217</v>
      </c>
      <c r="B195" s="7" t="str">
        <f>CONCATENATE("CNSARG",TEXT(consArgamassa[[#This Row],[Ordem]],"00000"))</f>
        <v>CNSARG00201</v>
      </c>
      <c r="C195" s="7">
        <v>201</v>
      </c>
      <c r="D195" s="10">
        <f>VLOOKUP(consArgamassa[[#This Row],[RecebID]],recebArgamassa[[RecebID]:[Insumo]],3,FALSE)</f>
        <v>45050.125</v>
      </c>
      <c r="E195" s="7" t="str">
        <f>VLOOKUP(consArgamassa[[#This Row],[RecebID]],recebArgamassa[[RecebID]:[Insumo]],4,FALSE)</f>
        <v>Argamassa Estabilizada</v>
      </c>
      <c r="F195" s="1" t="s">
        <v>264</v>
      </c>
      <c r="G195" s="1" t="s">
        <v>256</v>
      </c>
      <c r="H195" s="1">
        <v>2</v>
      </c>
      <c r="I195" s="1" t="s">
        <v>8</v>
      </c>
      <c r="K195" s="2">
        <v>2</v>
      </c>
      <c r="L195" s="23">
        <f>IFERROR(VLOOKUP(consArgamassa[[#This Row],[Serviço]],Tabela4[],5,FALSE),"")</f>
        <v>1.3352499999999998</v>
      </c>
      <c r="M195" s="22">
        <f>VLOOKUP(consArgamassa[[#This Row],[RecebID]],recebArgamassa[],14,FALSE)</f>
        <v>464.75</v>
      </c>
      <c r="N195" s="22">
        <f>IFERROR(VLOOKUP(consArgamassa[[#This Row],[Serviço]],Tabela4[],6,FALSE),"")</f>
        <v>500</v>
      </c>
      <c r="O195" s="1" t="s">
        <v>274</v>
      </c>
      <c r="P195" s="13">
        <v>36892</v>
      </c>
    </row>
    <row r="196" spans="1:16" x14ac:dyDescent="0.25">
      <c r="A196" s="1" t="s">
        <v>218</v>
      </c>
      <c r="B196" s="7" t="str">
        <f>CONCATENATE("CNSARG",TEXT(consArgamassa[[#This Row],[Ordem]],"00000"))</f>
        <v>CNSARG00202</v>
      </c>
      <c r="C196" s="7">
        <v>202</v>
      </c>
      <c r="D196" s="10">
        <f>VLOOKUP(consArgamassa[[#This Row],[RecebID]],recebArgamassa[[RecebID]:[Insumo]],3,FALSE)</f>
        <v>45051.125</v>
      </c>
      <c r="E196" s="7" t="str">
        <f>VLOOKUP(consArgamassa[[#This Row],[RecebID]],recebArgamassa[[RecebID]:[Insumo]],4,FALSE)</f>
        <v>Argamassa Estabilizada</v>
      </c>
      <c r="F196" s="1" t="s">
        <v>264</v>
      </c>
      <c r="G196" s="1" t="s">
        <v>256</v>
      </c>
      <c r="H196" s="1">
        <v>2</v>
      </c>
      <c r="I196" s="1" t="s">
        <v>8</v>
      </c>
      <c r="K196" s="2">
        <v>3.5</v>
      </c>
      <c r="L196" s="23">
        <f>IFERROR(VLOOKUP(consArgamassa[[#This Row],[Serviço]],Tabela4[],5,FALSE),"")</f>
        <v>1.3352499999999998</v>
      </c>
      <c r="M196" s="22">
        <f>VLOOKUP(consArgamassa[[#This Row],[RecebID]],recebArgamassa[],14,FALSE)</f>
        <v>464.75</v>
      </c>
      <c r="N196" s="22">
        <f>IFERROR(VLOOKUP(consArgamassa[[#This Row],[Serviço]],Tabela4[],6,FALSE),"")</f>
        <v>500</v>
      </c>
      <c r="O196" s="1" t="s">
        <v>274</v>
      </c>
      <c r="P196" s="13">
        <v>36892</v>
      </c>
    </row>
    <row r="197" spans="1:16" x14ac:dyDescent="0.25">
      <c r="A197" s="1" t="s">
        <v>219</v>
      </c>
      <c r="B197" s="7" t="str">
        <f>CONCATENATE("CNSARG",TEXT(consArgamassa[[#This Row],[Ordem]],"00000"))</f>
        <v>CNSARG00203</v>
      </c>
      <c r="C197" s="7">
        <v>203</v>
      </c>
      <c r="D197" s="10">
        <f>VLOOKUP(consArgamassa[[#This Row],[RecebID]],recebArgamassa[[RecebID]:[Insumo]],3,FALSE)</f>
        <v>45054.125</v>
      </c>
      <c r="E197" s="7" t="str">
        <f>VLOOKUP(consArgamassa[[#This Row],[RecebID]],recebArgamassa[[RecebID]:[Insumo]],4,FALSE)</f>
        <v>Argamassa Estabilizada</v>
      </c>
      <c r="F197" s="1" t="s">
        <v>264</v>
      </c>
      <c r="G197" s="1" t="s">
        <v>256</v>
      </c>
      <c r="H197" s="1">
        <v>2</v>
      </c>
      <c r="I197" s="1" t="s">
        <v>7</v>
      </c>
      <c r="K197" s="2">
        <v>3</v>
      </c>
      <c r="L197" s="23">
        <f>IFERROR(VLOOKUP(consArgamassa[[#This Row],[Serviço]],Tabela4[],5,FALSE),"")</f>
        <v>1.3352499999999998</v>
      </c>
      <c r="M197" s="22">
        <f>VLOOKUP(consArgamassa[[#This Row],[RecebID]],recebArgamassa[],14,FALSE)</f>
        <v>464.75</v>
      </c>
      <c r="N197" s="22">
        <f>IFERROR(VLOOKUP(consArgamassa[[#This Row],[Serviço]],Tabela4[],6,FALSE),"")</f>
        <v>500</v>
      </c>
      <c r="O197" s="1" t="s">
        <v>274</v>
      </c>
      <c r="P197" s="13">
        <v>36892</v>
      </c>
    </row>
    <row r="198" spans="1:16" x14ac:dyDescent="0.25">
      <c r="A198" s="1" t="s">
        <v>220</v>
      </c>
      <c r="B198" s="7" t="str">
        <f>CONCATENATE("CNSARG",TEXT(consArgamassa[[#This Row],[Ordem]],"00000"))</f>
        <v>CNSARG00204</v>
      </c>
      <c r="C198" s="7">
        <v>204</v>
      </c>
      <c r="D198" s="10">
        <f>VLOOKUP(consArgamassa[[#This Row],[RecebID]],recebArgamassa[[RecebID]:[Insumo]],3,FALSE)</f>
        <v>45055.125</v>
      </c>
      <c r="E198" s="7" t="str">
        <f>VLOOKUP(consArgamassa[[#This Row],[RecebID]],recebArgamassa[[RecebID]:[Insumo]],4,FALSE)</f>
        <v>Argamassa Estabilizada</v>
      </c>
      <c r="F198" s="1" t="s">
        <v>250</v>
      </c>
      <c r="G198" s="1" t="s">
        <v>270</v>
      </c>
      <c r="H198" s="1" t="s">
        <v>296</v>
      </c>
      <c r="I198" s="1" t="s">
        <v>10</v>
      </c>
      <c r="J198" s="1" t="s">
        <v>240</v>
      </c>
      <c r="K198" s="2">
        <v>1</v>
      </c>
      <c r="L198" s="23">
        <f>IFERROR(VLOOKUP(consArgamassa[[#This Row],[Serviço]],Tabela4[],5,FALSE),"")</f>
        <v>0</v>
      </c>
      <c r="M198" s="22">
        <f>VLOOKUP(consArgamassa[[#This Row],[RecebID]],recebArgamassa[],14,FALSE)</f>
        <v>464.75</v>
      </c>
      <c r="N198" s="22">
        <f>IFERROR(VLOOKUP(consArgamassa[[#This Row],[Serviço]],Tabela4[],6,FALSE),"")</f>
        <v>500</v>
      </c>
      <c r="O198" s="1" t="s">
        <v>274</v>
      </c>
      <c r="P198" s="13">
        <v>36892</v>
      </c>
    </row>
    <row r="199" spans="1:16" x14ac:dyDescent="0.25">
      <c r="A199" s="1" t="s">
        <v>221</v>
      </c>
      <c r="B199" s="7" t="str">
        <f>CONCATENATE("CNSARG",TEXT(consArgamassa[[#This Row],[Ordem]],"00000"))</f>
        <v>CNSARG00205</v>
      </c>
      <c r="C199" s="7">
        <v>205</v>
      </c>
      <c r="D199" s="10">
        <f>VLOOKUP(consArgamassa[[#This Row],[RecebID]],recebArgamassa[[RecebID]:[Insumo]],3,FALSE)</f>
        <v>45056.125</v>
      </c>
      <c r="E199" s="7" t="str">
        <f>VLOOKUP(consArgamassa[[#This Row],[RecebID]],recebArgamassa[[RecebID]:[Insumo]],4,FALSE)</f>
        <v>Argamassa Estabilizada</v>
      </c>
      <c r="F199" s="1" t="s">
        <v>264</v>
      </c>
      <c r="G199" s="1" t="s">
        <v>256</v>
      </c>
      <c r="H199" s="1">
        <v>2</v>
      </c>
      <c r="I199" s="1" t="s">
        <v>7</v>
      </c>
      <c r="K199" s="2">
        <v>4</v>
      </c>
      <c r="L199" s="23">
        <f>IFERROR(VLOOKUP(consArgamassa[[#This Row],[Serviço]],Tabela4[],5,FALSE),"")</f>
        <v>1.3352499999999998</v>
      </c>
      <c r="M199" s="22">
        <f>VLOOKUP(consArgamassa[[#This Row],[RecebID]],recebArgamassa[],14,FALSE)</f>
        <v>464.75</v>
      </c>
      <c r="N199" s="22">
        <f>IFERROR(VLOOKUP(consArgamassa[[#This Row],[Serviço]],Tabela4[],6,FALSE),"")</f>
        <v>500</v>
      </c>
      <c r="O199" s="1" t="s">
        <v>274</v>
      </c>
      <c r="P199" s="13">
        <v>36892</v>
      </c>
    </row>
    <row r="200" spans="1:16" x14ac:dyDescent="0.25">
      <c r="A200" s="1" t="s">
        <v>222</v>
      </c>
      <c r="B200" s="7" t="str">
        <f>CONCATENATE("CNSARG",TEXT(consArgamassa[[#This Row],[Ordem]],"00000"))</f>
        <v>CNSARG00206</v>
      </c>
      <c r="C200" s="7">
        <v>206</v>
      </c>
      <c r="D200" s="10">
        <f>VLOOKUP(consArgamassa[[#This Row],[RecebID]],recebArgamassa[[RecebID]:[Insumo]],3,FALSE)</f>
        <v>45057.125</v>
      </c>
      <c r="E200" s="7" t="str">
        <f>VLOOKUP(consArgamassa[[#This Row],[RecebID]],recebArgamassa[[RecebID]:[Insumo]],4,FALSE)</f>
        <v>Argamassa Estabilizada</v>
      </c>
      <c r="F200" s="1" t="s">
        <v>264</v>
      </c>
      <c r="G200" s="1" t="s">
        <v>256</v>
      </c>
      <c r="H200" s="1">
        <v>2</v>
      </c>
      <c r="I200" s="1" t="s">
        <v>10</v>
      </c>
      <c r="K200" s="2">
        <v>3</v>
      </c>
      <c r="L200" s="23">
        <f>IFERROR(VLOOKUP(consArgamassa[[#This Row],[Serviço]],Tabela4[],5,FALSE),"")</f>
        <v>1.3352499999999998</v>
      </c>
      <c r="M200" s="22">
        <f>VLOOKUP(consArgamassa[[#This Row],[RecebID]],recebArgamassa[],14,FALSE)</f>
        <v>464.75</v>
      </c>
      <c r="N200" s="22">
        <f>IFERROR(VLOOKUP(consArgamassa[[#This Row],[Serviço]],Tabela4[],6,FALSE),"")</f>
        <v>500</v>
      </c>
      <c r="O200" s="1" t="s">
        <v>274</v>
      </c>
      <c r="P200" s="13">
        <v>36892</v>
      </c>
    </row>
    <row r="201" spans="1:16" x14ac:dyDescent="0.25">
      <c r="A201" s="1" t="s">
        <v>223</v>
      </c>
      <c r="B201" s="7" t="str">
        <f>CONCATENATE("CNSARG",TEXT(consArgamassa[[#This Row],[Ordem]],"00000"))</f>
        <v>CNSARG00207</v>
      </c>
      <c r="C201" s="7">
        <v>207</v>
      </c>
      <c r="D201" s="10">
        <f>VLOOKUP(consArgamassa[[#This Row],[RecebID]],recebArgamassa[[RecebID]:[Insumo]],3,FALSE)</f>
        <v>45061.125</v>
      </c>
      <c r="E201" s="7" t="str">
        <f>VLOOKUP(consArgamassa[[#This Row],[RecebID]],recebArgamassa[[RecebID]:[Insumo]],4,FALSE)</f>
        <v>Argamassa Estabilizada</v>
      </c>
      <c r="F201" s="1" t="s">
        <v>264</v>
      </c>
      <c r="G201" s="1" t="s">
        <v>255</v>
      </c>
      <c r="H201" s="1">
        <v>1</v>
      </c>
      <c r="I201" s="1" t="s">
        <v>10</v>
      </c>
      <c r="K201" s="2">
        <v>3.5</v>
      </c>
      <c r="L201" s="23">
        <f>IFERROR(VLOOKUP(consArgamassa[[#This Row],[Serviço]],Tabela4[],5,FALSE),"")</f>
        <v>1.3352499999999998</v>
      </c>
      <c r="M201" s="22">
        <f>VLOOKUP(consArgamassa[[#This Row],[RecebID]],recebArgamassa[],14,FALSE)</f>
        <v>464.75</v>
      </c>
      <c r="N201" s="22">
        <f>IFERROR(VLOOKUP(consArgamassa[[#This Row],[Serviço]],Tabela4[],6,FALSE),"")</f>
        <v>500</v>
      </c>
      <c r="O201" s="1" t="s">
        <v>274</v>
      </c>
      <c r="P201" s="13">
        <v>36892</v>
      </c>
    </row>
    <row r="202" spans="1:16" x14ac:dyDescent="0.25">
      <c r="A202" s="1" t="s">
        <v>224</v>
      </c>
      <c r="B202" s="7" t="str">
        <f>CONCATENATE("CNSARG",TEXT(consArgamassa[[#This Row],[Ordem]],"00000"))</f>
        <v>CNSARG00208</v>
      </c>
      <c r="C202" s="7">
        <v>208</v>
      </c>
      <c r="D202" s="10">
        <f>VLOOKUP(consArgamassa[[#This Row],[RecebID]],recebArgamassa[[RecebID]:[Insumo]],3,FALSE)</f>
        <v>45062.125</v>
      </c>
      <c r="E202" s="7" t="str">
        <f>VLOOKUP(consArgamassa[[#This Row],[RecebID]],recebArgamassa[[RecebID]:[Insumo]],4,FALSE)</f>
        <v>Argamassa Estabilizada</v>
      </c>
      <c r="F202" s="1" t="s">
        <v>264</v>
      </c>
      <c r="G202" s="1" t="s">
        <v>255</v>
      </c>
      <c r="H202" s="1">
        <v>1</v>
      </c>
      <c r="I202" s="1" t="s">
        <v>10</v>
      </c>
      <c r="K202" s="2">
        <v>4</v>
      </c>
      <c r="L202" s="23">
        <f>IFERROR(VLOOKUP(consArgamassa[[#This Row],[Serviço]],Tabela4[],5,FALSE),"")</f>
        <v>1.3352499999999998</v>
      </c>
      <c r="M202" s="22">
        <f>VLOOKUP(consArgamassa[[#This Row],[RecebID]],recebArgamassa[],14,FALSE)</f>
        <v>464.75</v>
      </c>
      <c r="N202" s="22">
        <f>IFERROR(VLOOKUP(consArgamassa[[#This Row],[Serviço]],Tabela4[],6,FALSE),"")</f>
        <v>500</v>
      </c>
      <c r="O202" s="1" t="s">
        <v>274</v>
      </c>
      <c r="P202" s="13">
        <v>36892</v>
      </c>
    </row>
    <row r="203" spans="1:16" x14ac:dyDescent="0.25">
      <c r="A203" s="1" t="s">
        <v>225</v>
      </c>
      <c r="B203" s="7" t="str">
        <f>CONCATENATE("CNSARG",TEXT(consArgamassa[[#This Row],[Ordem]],"00000"))</f>
        <v>CNSARG00209</v>
      </c>
      <c r="C203" s="7">
        <v>209</v>
      </c>
      <c r="D203" s="10">
        <f>VLOOKUP(consArgamassa[[#This Row],[RecebID]],recebArgamassa[[RecebID]:[Insumo]],3,FALSE)</f>
        <v>45063.125</v>
      </c>
      <c r="E203" s="7" t="str">
        <f>VLOOKUP(consArgamassa[[#This Row],[RecebID]],recebArgamassa[[RecebID]:[Insumo]],4,FALSE)</f>
        <v>Argamassa Estabilizada</v>
      </c>
      <c r="F203" s="1" t="s">
        <v>252</v>
      </c>
      <c r="G203" s="1" t="s">
        <v>270</v>
      </c>
      <c r="H203" s="1" t="s">
        <v>297</v>
      </c>
      <c r="I203" s="1" t="s">
        <v>10</v>
      </c>
      <c r="J203" s="1" t="s">
        <v>239</v>
      </c>
      <c r="K203" s="2">
        <v>1.5</v>
      </c>
      <c r="L203" s="23">
        <f>IFERROR(VLOOKUP(consArgamassa[[#This Row],[Serviço]],Tabela4[],5,FALSE),"")</f>
        <v>0</v>
      </c>
      <c r="M203" s="22">
        <f>VLOOKUP(consArgamassa[[#This Row],[RecebID]],recebArgamassa[],14,FALSE)</f>
        <v>464.75</v>
      </c>
      <c r="N203" s="22">
        <f>IFERROR(VLOOKUP(consArgamassa[[#This Row],[Serviço]],Tabela4[],6,FALSE),"")</f>
        <v>500</v>
      </c>
      <c r="O203" s="1" t="s">
        <v>274</v>
      </c>
      <c r="P203" s="13">
        <v>36892</v>
      </c>
    </row>
    <row r="204" spans="1:16" x14ac:dyDescent="0.25">
      <c r="A204" s="1" t="s">
        <v>226</v>
      </c>
      <c r="B204" s="7" t="str">
        <f>CONCATENATE("CNSARG",TEXT(consArgamassa[[#This Row],[Ordem]],"00000"))</f>
        <v>CNSARG00210</v>
      </c>
      <c r="C204" s="7">
        <v>210</v>
      </c>
      <c r="D204" s="10">
        <f>VLOOKUP(consArgamassa[[#This Row],[RecebID]],recebArgamassa[[RecebID]:[Insumo]],3,FALSE)</f>
        <v>45063.125</v>
      </c>
      <c r="E204" s="7" t="str">
        <f>VLOOKUP(consArgamassa[[#This Row],[RecebID]],recebArgamassa[[RecebID]:[Insumo]],4,FALSE)</f>
        <v>Argamassa Estabilizada</v>
      </c>
      <c r="F204" s="1" t="s">
        <v>252</v>
      </c>
      <c r="G204" s="1" t="s">
        <v>270</v>
      </c>
      <c r="H204" s="1" t="s">
        <v>297</v>
      </c>
      <c r="I204" s="1" t="s">
        <v>10</v>
      </c>
      <c r="J204" s="1" t="s">
        <v>239</v>
      </c>
      <c r="K204" s="2">
        <v>1.5</v>
      </c>
      <c r="L204" s="23">
        <f>IFERROR(VLOOKUP(consArgamassa[[#This Row],[Serviço]],Tabela4[],5,FALSE),"")</f>
        <v>0</v>
      </c>
      <c r="M204" s="22">
        <f>VLOOKUP(consArgamassa[[#This Row],[RecebID]],recebArgamassa[],14,FALSE)</f>
        <v>464.75</v>
      </c>
      <c r="N204" s="22">
        <f>IFERROR(VLOOKUP(consArgamassa[[#This Row],[Serviço]],Tabela4[],6,FALSE),"")</f>
        <v>500</v>
      </c>
      <c r="O204" s="1" t="s">
        <v>274</v>
      </c>
      <c r="P204" s="13">
        <v>36892</v>
      </c>
    </row>
    <row r="205" spans="1:16" x14ac:dyDescent="0.25">
      <c r="A205" s="1" t="s">
        <v>227</v>
      </c>
      <c r="B205" s="7" t="str">
        <f>CONCATENATE("CNSARG",TEXT(consArgamassa[[#This Row],[Ordem]],"00000"))</f>
        <v>CNSARG00211</v>
      </c>
      <c r="C205" s="7">
        <v>211</v>
      </c>
      <c r="D205" s="10">
        <f>VLOOKUP(consArgamassa[[#This Row],[RecebID]],recebArgamassa[[RecebID]:[Insumo]],3,FALSE)</f>
        <v>45068.125</v>
      </c>
      <c r="E205" s="7" t="str">
        <f>VLOOKUP(consArgamassa[[#This Row],[RecebID]],recebArgamassa[[RecebID]:[Insumo]],4,FALSE)</f>
        <v>Argamassa Estabilizada</v>
      </c>
      <c r="F205" s="1" t="s">
        <v>239</v>
      </c>
      <c r="G205" s="1" t="s">
        <v>270</v>
      </c>
      <c r="H205" s="1" t="s">
        <v>297</v>
      </c>
      <c r="I205" s="1" t="s">
        <v>10</v>
      </c>
      <c r="J205" s="1" t="s">
        <v>239</v>
      </c>
      <c r="K205" s="2">
        <v>2</v>
      </c>
      <c r="L205" s="23">
        <f>IFERROR(VLOOKUP(consArgamassa[[#This Row],[Serviço]],Tabela4[],5,FALSE),"")</f>
        <v>0</v>
      </c>
      <c r="M205" s="22">
        <f>VLOOKUP(consArgamassa[[#This Row],[RecebID]],recebArgamassa[],14,FALSE)</f>
        <v>464.75</v>
      </c>
      <c r="N205" s="22">
        <f>IFERROR(VLOOKUP(consArgamassa[[#This Row],[Serviço]],Tabela4[],6,FALSE),"")</f>
        <v>500</v>
      </c>
      <c r="O205" s="1" t="s">
        <v>274</v>
      </c>
      <c r="P205" s="13">
        <v>36892</v>
      </c>
    </row>
    <row r="206" spans="1:16" x14ac:dyDescent="0.25">
      <c r="A206" s="1" t="s">
        <v>228</v>
      </c>
      <c r="B206" s="7" t="str">
        <f>CONCATENATE("CNSARG",TEXT(consArgamassa[[#This Row],[Ordem]],"00000"))</f>
        <v>CNSARG00212</v>
      </c>
      <c r="C206" s="7">
        <v>212</v>
      </c>
      <c r="D206" s="10">
        <f>VLOOKUP(consArgamassa[[#This Row],[RecebID]],recebArgamassa[[RecebID]:[Insumo]],3,FALSE)</f>
        <v>45069.125</v>
      </c>
      <c r="E206" s="7" t="str">
        <f>VLOOKUP(consArgamassa[[#This Row],[RecebID]],recebArgamassa[[RecebID]:[Insumo]],4,FALSE)</f>
        <v>Argamassa Estabilizada</v>
      </c>
      <c r="F206" s="1" t="s">
        <v>248</v>
      </c>
      <c r="G206" s="1" t="s">
        <v>255</v>
      </c>
      <c r="H206" s="1">
        <v>10</v>
      </c>
      <c r="I206" s="1" t="s">
        <v>238</v>
      </c>
      <c r="J206" s="1" t="s">
        <v>238</v>
      </c>
      <c r="K206" s="2">
        <v>1</v>
      </c>
      <c r="L206" s="23">
        <f>IFERROR(VLOOKUP(consArgamassa[[#This Row],[Serviço]],Tabela4[],5,FALSE),"")</f>
        <v>1.98</v>
      </c>
      <c r="M206" s="22">
        <f>VLOOKUP(consArgamassa[[#This Row],[RecebID]],recebArgamassa[],14,FALSE)</f>
        <v>464.75</v>
      </c>
      <c r="N206" s="22">
        <f>IFERROR(VLOOKUP(consArgamassa[[#This Row],[Serviço]],Tabela4[],6,FALSE),"")</f>
        <v>500</v>
      </c>
      <c r="O206" s="1" t="s">
        <v>274</v>
      </c>
      <c r="P206" s="13">
        <v>36892</v>
      </c>
    </row>
    <row r="207" spans="1:16" x14ac:dyDescent="0.25">
      <c r="A207" s="1" t="s">
        <v>229</v>
      </c>
      <c r="B207" s="7" t="str">
        <f>CONCATENATE("CNSARG",TEXT(consArgamassa[[#This Row],[Ordem]],"00000"))</f>
        <v>CNSARG00213</v>
      </c>
      <c r="C207" s="7">
        <v>213</v>
      </c>
      <c r="D207" s="10">
        <f>VLOOKUP(consArgamassa[[#This Row],[RecebID]],recebArgamassa[[RecebID]:[Insumo]],3,FALSE)</f>
        <v>45070.125</v>
      </c>
      <c r="E207" s="7" t="str">
        <f>VLOOKUP(consArgamassa[[#This Row],[RecebID]],recebArgamassa[[RecebID]:[Insumo]],4,FALSE)</f>
        <v>Argamassa Estabilizada</v>
      </c>
      <c r="F207" s="1" t="s">
        <v>264</v>
      </c>
      <c r="G207" s="1" t="s">
        <v>256</v>
      </c>
      <c r="H207" s="1">
        <v>1</v>
      </c>
      <c r="I207" s="1" t="s">
        <v>9</v>
      </c>
      <c r="K207" s="2">
        <v>3.5</v>
      </c>
      <c r="L207" s="23">
        <f>IFERROR(VLOOKUP(consArgamassa[[#This Row],[Serviço]],Tabela4[],5,FALSE),"")</f>
        <v>1.3352499999999998</v>
      </c>
      <c r="M207" s="22">
        <f>VLOOKUP(consArgamassa[[#This Row],[RecebID]],recebArgamassa[],14,FALSE)</f>
        <v>464.75</v>
      </c>
      <c r="N207" s="22">
        <f>IFERROR(VLOOKUP(consArgamassa[[#This Row],[Serviço]],Tabela4[],6,FALSE),"")</f>
        <v>500</v>
      </c>
      <c r="O207" s="1" t="s">
        <v>274</v>
      </c>
      <c r="P207" s="13">
        <v>36892</v>
      </c>
    </row>
    <row r="208" spans="1:16" x14ac:dyDescent="0.25">
      <c r="A208" s="1" t="s">
        <v>230</v>
      </c>
      <c r="B208" s="7" t="str">
        <f>CONCATENATE("CNSARG",TEXT(consArgamassa[[#This Row],[Ordem]],"00000"))</f>
        <v>CNSARG00214</v>
      </c>
      <c r="C208" s="7">
        <v>214</v>
      </c>
      <c r="D208" s="10">
        <f>VLOOKUP(consArgamassa[[#This Row],[RecebID]],recebArgamassa[[RecebID]:[Insumo]],3,FALSE)</f>
        <v>45075.125</v>
      </c>
      <c r="E208" s="7" t="str">
        <f>VLOOKUP(consArgamassa[[#This Row],[RecebID]],recebArgamassa[[RecebID]:[Insumo]],4,FALSE)</f>
        <v>Argamassa Estabilizada</v>
      </c>
      <c r="F208" s="1" t="s">
        <v>264</v>
      </c>
      <c r="G208" s="1" t="s">
        <v>255</v>
      </c>
      <c r="H208" s="1">
        <v>1</v>
      </c>
      <c r="I208" s="1" t="s">
        <v>7</v>
      </c>
      <c r="K208" s="2">
        <v>4.5</v>
      </c>
      <c r="L208" s="23">
        <f>IFERROR(VLOOKUP(consArgamassa[[#This Row],[Serviço]],Tabela4[],5,FALSE),"")</f>
        <v>1.3352499999999998</v>
      </c>
      <c r="M208" s="22">
        <f>VLOOKUP(consArgamassa[[#This Row],[RecebID]],recebArgamassa[],14,FALSE)</f>
        <v>464.75</v>
      </c>
      <c r="N208" s="22">
        <f>IFERROR(VLOOKUP(consArgamassa[[#This Row],[Serviço]],Tabela4[],6,FALSE),"")</f>
        <v>500</v>
      </c>
      <c r="O208" s="1" t="s">
        <v>274</v>
      </c>
      <c r="P208" s="13">
        <v>36892</v>
      </c>
    </row>
    <row r="209" spans="1:16" x14ac:dyDescent="0.25">
      <c r="A209" s="1" t="s">
        <v>231</v>
      </c>
      <c r="B209" s="7" t="str">
        <f>CONCATENATE("CNSARG",TEXT(consArgamassa[[#This Row],[Ordem]],"00000"))</f>
        <v>CNSARG00215</v>
      </c>
      <c r="C209" s="7">
        <v>215</v>
      </c>
      <c r="D209" s="10">
        <f>VLOOKUP(consArgamassa[[#This Row],[RecebID]],recebArgamassa[[RecebID]:[Insumo]],3,FALSE)</f>
        <v>44197</v>
      </c>
      <c r="E209" s="7" t="str">
        <f>VLOOKUP(consArgamassa[[#This Row],[RecebID]],recebArgamassa[[RecebID]:[Insumo]],4,FALSE)</f>
        <v>Argamassa Estabilizada</v>
      </c>
      <c r="F209" s="1" t="s">
        <v>264</v>
      </c>
      <c r="G209" s="1" t="s">
        <v>255</v>
      </c>
      <c r="H209" s="1">
        <v>1</v>
      </c>
      <c r="I209" s="1" t="s">
        <v>7</v>
      </c>
      <c r="K209" s="2">
        <v>2</v>
      </c>
      <c r="L209" s="23">
        <f>IFERROR(VLOOKUP(consArgamassa[[#This Row],[Serviço]],Tabela4[],5,FALSE),"")</f>
        <v>1.3352499999999998</v>
      </c>
      <c r="M209" s="22">
        <f>VLOOKUP(consArgamassa[[#This Row],[RecebID]],recebArgamassa[],14,FALSE)</f>
        <v>464.75</v>
      </c>
      <c r="N209" s="22">
        <f>IFERROR(VLOOKUP(consArgamassa[[#This Row],[Serviço]],Tabela4[],6,FALSE),"")</f>
        <v>500</v>
      </c>
      <c r="O209" s="1" t="s">
        <v>274</v>
      </c>
      <c r="P209" s="13">
        <v>36892</v>
      </c>
    </row>
    <row r="210" spans="1:16" x14ac:dyDescent="0.25">
      <c r="A210" s="1" t="s">
        <v>232</v>
      </c>
      <c r="B210" s="7" t="str">
        <f>CONCATENATE("CNSARG",TEXT(consArgamassa[[#This Row],[Ordem]],"00000"))</f>
        <v>CNSARG00216</v>
      </c>
      <c r="C210" s="7">
        <v>216</v>
      </c>
      <c r="D210" s="10">
        <f>VLOOKUP(consArgamassa[[#This Row],[RecebID]],recebArgamassa[[RecebID]:[Insumo]],3,FALSE)</f>
        <v>45076.125</v>
      </c>
      <c r="E210" s="7" t="str">
        <f>VLOOKUP(consArgamassa[[#This Row],[RecebID]],recebArgamassa[[RecebID]:[Insumo]],4,FALSE)</f>
        <v>Argamassa Estabilizada</v>
      </c>
      <c r="F210" s="1" t="s">
        <v>264</v>
      </c>
      <c r="G210" s="1" t="s">
        <v>255</v>
      </c>
      <c r="H210" s="1">
        <v>1</v>
      </c>
      <c r="I210" s="1" t="s">
        <v>7</v>
      </c>
      <c r="K210" s="2">
        <v>2</v>
      </c>
      <c r="L210" s="23">
        <f>IFERROR(VLOOKUP(consArgamassa[[#This Row],[Serviço]],Tabela4[],5,FALSE),"")</f>
        <v>1.3352499999999998</v>
      </c>
      <c r="M210" s="22">
        <f>VLOOKUP(consArgamassa[[#This Row],[RecebID]],recebArgamassa[],14,FALSE)</f>
        <v>464.75</v>
      </c>
      <c r="N210" s="22">
        <f>IFERROR(VLOOKUP(consArgamassa[[#This Row],[Serviço]],Tabela4[],6,FALSE),"")</f>
        <v>500</v>
      </c>
      <c r="O210" s="1" t="s">
        <v>274</v>
      </c>
      <c r="P210" s="13">
        <v>36892</v>
      </c>
    </row>
    <row r="211" spans="1:16" x14ac:dyDescent="0.25">
      <c r="A211" s="1" t="s">
        <v>233</v>
      </c>
      <c r="B211" s="7" t="str">
        <f>CONCATENATE("CNSARG",TEXT(consArgamassa[[#This Row],[Ordem]],"00000"))</f>
        <v>CNSARG00217</v>
      </c>
      <c r="C211" s="7">
        <v>217</v>
      </c>
      <c r="D211" s="10">
        <f>VLOOKUP(consArgamassa[[#This Row],[RecebID]],recebArgamassa[[RecebID]:[Insumo]],3,FALSE)</f>
        <v>44197</v>
      </c>
      <c r="E211" s="7" t="str">
        <f>VLOOKUP(consArgamassa[[#This Row],[RecebID]],recebArgamassa[[RecebID]:[Insumo]],4,FALSE)</f>
        <v>Argamassa Estabilizada</v>
      </c>
      <c r="F211" s="1" t="s">
        <v>264</v>
      </c>
      <c r="G211" s="1" t="s">
        <v>256</v>
      </c>
      <c r="H211" s="1">
        <v>1</v>
      </c>
      <c r="I211" s="1" t="s">
        <v>9</v>
      </c>
      <c r="K211" s="2">
        <v>1</v>
      </c>
      <c r="L211" s="23">
        <f>IFERROR(VLOOKUP(consArgamassa[[#This Row],[Serviço]],Tabela4[],5,FALSE),"")</f>
        <v>1.3352499999999998</v>
      </c>
      <c r="M211" s="22">
        <f>VLOOKUP(consArgamassa[[#This Row],[RecebID]],recebArgamassa[],14,FALSE)</f>
        <v>464.75</v>
      </c>
      <c r="N211" s="22">
        <f>IFERROR(VLOOKUP(consArgamassa[[#This Row],[Serviço]],Tabela4[],6,FALSE),"")</f>
        <v>500</v>
      </c>
      <c r="O211" s="1" t="s">
        <v>274</v>
      </c>
      <c r="P211" s="13">
        <v>36892</v>
      </c>
    </row>
    <row r="212" spans="1:16" x14ac:dyDescent="0.25">
      <c r="A212" s="1" t="s">
        <v>234</v>
      </c>
      <c r="B212" s="7" t="str">
        <f>CONCATENATE("CNSARG",TEXT(consArgamassa[[#This Row],[Ordem]],"00000"))</f>
        <v>CNSARG00218</v>
      </c>
      <c r="C212" s="7">
        <v>218</v>
      </c>
      <c r="D212" s="10">
        <f>VLOOKUP(consArgamassa[[#This Row],[RecebID]],recebArgamassa[[RecebID]:[Insumo]],3,FALSE)</f>
        <v>45077.125</v>
      </c>
      <c r="E212" s="7" t="str">
        <f>VLOOKUP(consArgamassa[[#This Row],[RecebID]],recebArgamassa[[RecebID]:[Insumo]],4,FALSE)</f>
        <v>Argamassa Estabilizada</v>
      </c>
      <c r="F212" s="1" t="s">
        <v>264</v>
      </c>
      <c r="G212" s="1" t="s">
        <v>256</v>
      </c>
      <c r="H212" s="1">
        <v>1</v>
      </c>
      <c r="I212" s="1" t="s">
        <v>9</v>
      </c>
      <c r="K212" s="2">
        <v>1</v>
      </c>
      <c r="L212" s="23">
        <f>IFERROR(VLOOKUP(consArgamassa[[#This Row],[Serviço]],Tabela4[],5,FALSE),"")</f>
        <v>1.3352499999999998</v>
      </c>
      <c r="M212" s="22">
        <f>VLOOKUP(consArgamassa[[#This Row],[RecebID]],recebArgamassa[],14,FALSE)</f>
        <v>464.75</v>
      </c>
      <c r="N212" s="22">
        <f>IFERROR(VLOOKUP(consArgamassa[[#This Row],[Serviço]],Tabela4[],6,FALSE),"")</f>
        <v>500</v>
      </c>
      <c r="O212" s="1" t="s">
        <v>274</v>
      </c>
      <c r="P212" s="13">
        <v>36892</v>
      </c>
    </row>
    <row r="213" spans="1:16" x14ac:dyDescent="0.25">
      <c r="A213" s="1" t="s">
        <v>235</v>
      </c>
      <c r="B213" s="7" t="str">
        <f>CONCATENATE("CNSARG",TEXT(consArgamassa[[#This Row],[Ordem]],"00000"))</f>
        <v>CNSARG00219</v>
      </c>
      <c r="C213" s="7">
        <v>219</v>
      </c>
      <c r="D213" s="10">
        <f>VLOOKUP(consArgamassa[[#This Row],[RecebID]],recebArgamassa[[RecebID]:[Insumo]],3,FALSE)</f>
        <v>45082.125</v>
      </c>
      <c r="E213" s="7" t="str">
        <f>VLOOKUP(consArgamassa[[#This Row],[RecebID]],recebArgamassa[[RecebID]:[Insumo]],4,FALSE)</f>
        <v>Argamassa Estabilizada</v>
      </c>
      <c r="F213" s="1" t="s">
        <v>264</v>
      </c>
      <c r="G213" s="1" t="s">
        <v>256</v>
      </c>
      <c r="H213" s="1">
        <v>1</v>
      </c>
      <c r="I213" s="1" t="s">
        <v>9</v>
      </c>
      <c r="K213" s="2">
        <v>3</v>
      </c>
      <c r="L213" s="23">
        <f>IFERROR(VLOOKUP(consArgamassa[[#This Row],[Serviço]],Tabela4[],5,FALSE),"")</f>
        <v>1.3352499999999998</v>
      </c>
      <c r="M213" s="22">
        <f>VLOOKUP(consArgamassa[[#This Row],[RecebID]],recebArgamassa[],14,FALSE)</f>
        <v>464.75</v>
      </c>
      <c r="N213" s="22">
        <f>IFERROR(VLOOKUP(consArgamassa[[#This Row],[Serviço]],Tabela4[],6,FALSE),"")</f>
        <v>500</v>
      </c>
      <c r="O213" s="1" t="s">
        <v>274</v>
      </c>
      <c r="P213" s="13">
        <v>36892</v>
      </c>
    </row>
    <row r="214" spans="1:16" x14ac:dyDescent="0.25">
      <c r="A214" s="1" t="s">
        <v>236</v>
      </c>
      <c r="B214" s="7" t="str">
        <f>CONCATENATE("CNSARG",TEXT(consArgamassa[[#This Row],[Ordem]],"00000"))</f>
        <v>CNSARG00220</v>
      </c>
      <c r="C214" s="7">
        <v>220</v>
      </c>
      <c r="D214" s="10">
        <f>VLOOKUP(consArgamassa[[#This Row],[RecebID]],recebArgamassa[[RecebID]:[Insumo]],3,FALSE)</f>
        <v>45082.125</v>
      </c>
      <c r="E214" s="7" t="str">
        <f>VLOOKUP(consArgamassa[[#This Row],[RecebID]],recebArgamassa[[RecebID]:[Insumo]],4,FALSE)</f>
        <v>Argamassa Estabilizada</v>
      </c>
      <c r="F214" s="1" t="s">
        <v>264</v>
      </c>
      <c r="G214" s="1" t="s">
        <v>256</v>
      </c>
      <c r="H214" s="1">
        <v>1</v>
      </c>
      <c r="I214" s="1" t="s">
        <v>9</v>
      </c>
      <c r="K214" s="2">
        <v>3</v>
      </c>
      <c r="L214" s="23">
        <f>IFERROR(VLOOKUP(consArgamassa[[#This Row],[Serviço]],Tabela4[],5,FALSE),"")</f>
        <v>1.3352499999999998</v>
      </c>
      <c r="M214" s="22">
        <f>VLOOKUP(consArgamassa[[#This Row],[RecebID]],recebArgamassa[],14,FALSE)</f>
        <v>464.75</v>
      </c>
      <c r="N214" s="22">
        <f>IFERROR(VLOOKUP(consArgamassa[[#This Row],[Serviço]],Tabela4[],6,FALSE),"")</f>
        <v>500</v>
      </c>
      <c r="O214" s="1" t="s">
        <v>274</v>
      </c>
      <c r="P214" s="13">
        <v>36892</v>
      </c>
    </row>
    <row r="215" spans="1:16" x14ac:dyDescent="0.25">
      <c r="A215" s="1" t="s">
        <v>184</v>
      </c>
      <c r="B215" s="7" t="str">
        <f>CONCATENATE("CNSARG",TEXT(consArgamassa[[#This Row],[Ordem]],"00000"))</f>
        <v>CNSARG00386</v>
      </c>
      <c r="C215" s="7">
        <v>386</v>
      </c>
      <c r="D215" s="10">
        <f>VLOOKUP(consArgamassa[[#This Row],[RecebID]],recebArgamassa[[RecebID]:[Insumo]],3,FALSE)</f>
        <v>44197</v>
      </c>
      <c r="E215" s="7" t="str">
        <f>VLOOKUP(consArgamassa[[#This Row],[RecebID]],recebArgamassa[[RecebID]:[Insumo]],4,FALSE)</f>
        <v>Argamassa Estabilizada</v>
      </c>
      <c r="G215" s="1" t="s">
        <v>256</v>
      </c>
      <c r="H215" s="1">
        <v>7</v>
      </c>
      <c r="I215" s="1" t="s">
        <v>9</v>
      </c>
      <c r="K215" s="2">
        <v>1.5</v>
      </c>
      <c r="L215" s="23" t="str">
        <f>IFERROR(VLOOKUP(consArgamassa[[#This Row],[Serviço]],Tabela4[],5,FALSE),"")</f>
        <v/>
      </c>
      <c r="M215" s="22">
        <f>VLOOKUP(consArgamassa[[#This Row],[RecebID]],recebArgamassa[],14,FALSE)</f>
        <v>464.75</v>
      </c>
      <c r="N215" s="22" t="str">
        <f>IFERROR(VLOOKUP(consArgamassa[[#This Row],[Serviço]],Tabela4[],6,FALSE),"")</f>
        <v/>
      </c>
      <c r="O215" s="1" t="s">
        <v>274</v>
      </c>
      <c r="P215" s="13">
        <v>36892</v>
      </c>
    </row>
    <row r="216" spans="1:16" x14ac:dyDescent="0.25">
      <c r="A216" s="1" t="s">
        <v>185</v>
      </c>
      <c r="B216" s="7" t="str">
        <f>CONCATENATE("CNSARG",TEXT(consArgamassa[[#This Row],[Ordem]],"00000"))</f>
        <v>CNSARG00388</v>
      </c>
      <c r="C216" s="7">
        <v>388</v>
      </c>
      <c r="D216" s="10">
        <f>VLOOKUP(consArgamassa[[#This Row],[RecebID]],recebArgamassa[[RecebID]:[Insumo]],3,FALSE)</f>
        <v>44998.125</v>
      </c>
      <c r="E216" s="7" t="str">
        <f>VLOOKUP(consArgamassa[[#This Row],[RecebID]],recebArgamassa[[RecebID]:[Insumo]],4,FALSE)</f>
        <v>Argamassa Estabilizada</v>
      </c>
      <c r="F216" s="1" t="s">
        <v>276</v>
      </c>
      <c r="G216" s="1" t="s">
        <v>270</v>
      </c>
      <c r="H216" s="1" t="s">
        <v>296</v>
      </c>
      <c r="I216" s="1" t="s">
        <v>10</v>
      </c>
      <c r="J216" s="1" t="s">
        <v>243</v>
      </c>
      <c r="K216" s="2">
        <v>1</v>
      </c>
      <c r="L216" s="23">
        <f>IFERROR(VLOOKUP(consArgamassa[[#This Row],[Serviço]],Tabela4[],5,FALSE),"")</f>
        <v>0.81818181818181823</v>
      </c>
      <c r="M216" s="22">
        <f>VLOOKUP(consArgamassa[[#This Row],[RecebID]],recebArgamassa[],14,FALSE)</f>
        <v>464.75</v>
      </c>
      <c r="N216" s="22">
        <f>IFERROR(VLOOKUP(consArgamassa[[#This Row],[Serviço]],Tabela4[],6,FALSE),"")</f>
        <v>500</v>
      </c>
      <c r="O216" s="1" t="s">
        <v>274</v>
      </c>
      <c r="P216" s="13">
        <v>36892</v>
      </c>
    </row>
    <row r="217" spans="1:16" x14ac:dyDescent="0.25">
      <c r="A217" s="1" t="s">
        <v>186</v>
      </c>
      <c r="B217" s="7" t="str">
        <f>CONCATENATE("CNSARG",TEXT(consArgamassa[[#This Row],[Ordem]],"00000"))</f>
        <v>CNSARG00389</v>
      </c>
      <c r="C217" s="7">
        <v>389</v>
      </c>
      <c r="D217" s="10">
        <f>VLOOKUP(consArgamassa[[#This Row],[RecebID]],recebArgamassa[[RecebID]:[Insumo]],3,FALSE)</f>
        <v>44999.125</v>
      </c>
      <c r="E217" s="7" t="str">
        <f>VLOOKUP(consArgamassa[[#This Row],[RecebID]],recebArgamassa[[RecebID]:[Insumo]],4,FALSE)</f>
        <v>Argamassa Estabilizada</v>
      </c>
      <c r="F217" s="1" t="s">
        <v>239</v>
      </c>
      <c r="G217" s="1" t="s">
        <v>270</v>
      </c>
      <c r="H217" s="1" t="s">
        <v>297</v>
      </c>
      <c r="I217" s="1" t="s">
        <v>10</v>
      </c>
      <c r="J217" s="1" t="s">
        <v>239</v>
      </c>
      <c r="K217" s="2">
        <v>2</v>
      </c>
      <c r="L217" s="23">
        <f>IFERROR(VLOOKUP(consArgamassa[[#This Row],[Serviço]],Tabela4[],5,FALSE),"")</f>
        <v>0</v>
      </c>
      <c r="M217" s="22">
        <f>VLOOKUP(consArgamassa[[#This Row],[RecebID]],recebArgamassa[],14,FALSE)</f>
        <v>464.75</v>
      </c>
      <c r="N217" s="22">
        <f>IFERROR(VLOOKUP(consArgamassa[[#This Row],[Serviço]],Tabela4[],6,FALSE),"")</f>
        <v>500</v>
      </c>
      <c r="O217" s="1" t="s">
        <v>274</v>
      </c>
      <c r="P217" s="13">
        <v>36892</v>
      </c>
    </row>
    <row r="218" spans="1:16" x14ac:dyDescent="0.25">
      <c r="A218" s="1" t="s">
        <v>187</v>
      </c>
      <c r="B218" s="7" t="str">
        <f>CONCATENATE("CNSARG",TEXT(consArgamassa[[#This Row],[Ordem]],"00000"))</f>
        <v>CNSARG00390</v>
      </c>
      <c r="C218" s="7">
        <v>390</v>
      </c>
      <c r="D218" s="10">
        <f>VLOOKUP(consArgamassa[[#This Row],[RecebID]],recebArgamassa[[RecebID]:[Insumo]],3,FALSE)</f>
        <v>45000.125</v>
      </c>
      <c r="E218" s="7" t="str">
        <f>VLOOKUP(consArgamassa[[#This Row],[RecebID]],recebArgamassa[[RecebID]:[Insumo]],4,FALSE)</f>
        <v>Argamassa Estabilizada</v>
      </c>
      <c r="F218" s="1" t="s">
        <v>247</v>
      </c>
      <c r="G218" s="1" t="s">
        <v>255</v>
      </c>
      <c r="H218" s="1">
        <v>9</v>
      </c>
      <c r="I218" s="1" t="s">
        <v>9</v>
      </c>
      <c r="K218" s="2">
        <v>0.5</v>
      </c>
      <c r="L218" s="23">
        <f>IFERROR(VLOOKUP(consArgamassa[[#This Row],[Serviço]],Tabela4[],5,FALSE),"")</f>
        <v>0</v>
      </c>
      <c r="M218" s="22">
        <f>VLOOKUP(consArgamassa[[#This Row],[RecebID]],recebArgamassa[],14,FALSE)</f>
        <v>464.75</v>
      </c>
      <c r="N218" s="22">
        <f>IFERROR(VLOOKUP(consArgamassa[[#This Row],[Serviço]],Tabela4[],6,FALSE),"")</f>
        <v>500</v>
      </c>
      <c r="O218" s="1" t="s">
        <v>274</v>
      </c>
      <c r="P218" s="13">
        <v>36892</v>
      </c>
    </row>
    <row r="219" spans="1:16" x14ac:dyDescent="0.25">
      <c r="A219" s="1" t="s">
        <v>188</v>
      </c>
      <c r="B219" s="7" t="str">
        <f>CONCATENATE("CNSARG",TEXT(consArgamassa[[#This Row],[Ordem]],"00000"))</f>
        <v>CNSARG00391</v>
      </c>
      <c r="C219" s="7">
        <v>391</v>
      </c>
      <c r="D219" s="10">
        <f>VLOOKUP(consArgamassa[[#This Row],[RecebID]],recebArgamassa[[RecebID]:[Insumo]],3,FALSE)</f>
        <v>45001.125</v>
      </c>
      <c r="E219" s="7" t="str">
        <f>VLOOKUP(consArgamassa[[#This Row],[RecebID]],recebArgamassa[[RecebID]:[Insumo]],4,FALSE)</f>
        <v>Argamassa Estabilizada</v>
      </c>
      <c r="F219" s="1" t="s">
        <v>239</v>
      </c>
      <c r="G219" s="1" t="s">
        <v>270</v>
      </c>
      <c r="H219" s="1" t="s">
        <v>297</v>
      </c>
      <c r="I219" s="1" t="s">
        <v>10</v>
      </c>
      <c r="J219" s="1" t="s">
        <v>239</v>
      </c>
      <c r="K219" s="2">
        <v>1</v>
      </c>
      <c r="L219" s="23">
        <f>IFERROR(VLOOKUP(consArgamassa[[#This Row],[Serviço]],Tabela4[],5,FALSE),"")</f>
        <v>0</v>
      </c>
      <c r="M219" s="22">
        <f>VLOOKUP(consArgamassa[[#This Row],[RecebID]],recebArgamassa[],14,FALSE)</f>
        <v>464.75</v>
      </c>
      <c r="N219" s="22">
        <f>IFERROR(VLOOKUP(consArgamassa[[#This Row],[Serviço]],Tabela4[],6,FALSE),"")</f>
        <v>500</v>
      </c>
      <c r="O219" s="1" t="s">
        <v>274</v>
      </c>
      <c r="P219" s="13">
        <v>36892</v>
      </c>
    </row>
    <row r="220" spans="1:16" x14ac:dyDescent="0.25">
      <c r="A220" s="1" t="s">
        <v>189</v>
      </c>
      <c r="B220" s="7" t="str">
        <f>CONCATENATE("CNSARG",TEXT(consArgamassa[[#This Row],[Ordem]],"00000"))</f>
        <v>CNSARG00392</v>
      </c>
      <c r="C220" s="7">
        <v>392</v>
      </c>
      <c r="D220" s="10">
        <f>VLOOKUP(consArgamassa[[#This Row],[RecebID]],recebArgamassa[[RecebID]:[Insumo]],3,FALSE)</f>
        <v>45002.125</v>
      </c>
      <c r="E220" s="7" t="str">
        <f>VLOOKUP(consArgamassa[[#This Row],[RecebID]],recebArgamassa[[RecebID]:[Insumo]],4,FALSE)</f>
        <v>Argamassa Estabilizada</v>
      </c>
      <c r="F220" s="1" t="s">
        <v>247</v>
      </c>
      <c r="G220" s="1" t="s">
        <v>255</v>
      </c>
      <c r="H220" s="1">
        <v>9</v>
      </c>
      <c r="I220" s="1" t="s">
        <v>8</v>
      </c>
      <c r="K220" s="2">
        <v>1</v>
      </c>
      <c r="L220" s="23">
        <f>IFERROR(VLOOKUP(consArgamassa[[#This Row],[Serviço]],Tabela4[],5,FALSE),"")</f>
        <v>0</v>
      </c>
      <c r="M220" s="22">
        <f>VLOOKUP(consArgamassa[[#This Row],[RecebID]],recebArgamassa[],14,FALSE)</f>
        <v>464.75</v>
      </c>
      <c r="N220" s="22">
        <f>IFERROR(VLOOKUP(consArgamassa[[#This Row],[Serviço]],Tabela4[],6,FALSE),"")</f>
        <v>500</v>
      </c>
      <c r="O220" s="1" t="s">
        <v>274</v>
      </c>
      <c r="P220" s="13">
        <v>36892</v>
      </c>
    </row>
    <row r="221" spans="1:16" x14ac:dyDescent="0.25">
      <c r="A221" s="1" t="s">
        <v>190</v>
      </c>
      <c r="B221" s="7" t="str">
        <f>CONCATENATE("CNSARG",TEXT(consArgamassa[[#This Row],[Ordem]],"00000"))</f>
        <v>CNSARG00393</v>
      </c>
      <c r="C221" s="7">
        <v>393</v>
      </c>
      <c r="D221" s="10">
        <f>VLOOKUP(consArgamassa[[#This Row],[RecebID]],recebArgamassa[[RecebID]:[Insumo]],3,FALSE)</f>
        <v>45005.125</v>
      </c>
      <c r="E221" s="7" t="str">
        <f>VLOOKUP(consArgamassa[[#This Row],[RecebID]],recebArgamassa[[RecebID]:[Insumo]],4,FALSE)</f>
        <v>Argamassa Estabilizada</v>
      </c>
      <c r="F221" s="1" t="s">
        <v>248</v>
      </c>
      <c r="G221" s="1" t="s">
        <v>256</v>
      </c>
      <c r="H221" s="1">
        <v>5</v>
      </c>
      <c r="I221" s="1" t="s">
        <v>238</v>
      </c>
      <c r="J221" s="1" t="s">
        <v>238</v>
      </c>
      <c r="K221" s="2">
        <v>0.5</v>
      </c>
      <c r="L221" s="23">
        <f>IFERROR(VLOOKUP(consArgamassa[[#This Row],[Serviço]],Tabela4[],5,FALSE),"")</f>
        <v>1.98</v>
      </c>
      <c r="M221" s="22">
        <f>VLOOKUP(consArgamassa[[#This Row],[RecebID]],recebArgamassa[],14,FALSE)</f>
        <v>464.75</v>
      </c>
      <c r="N221" s="22">
        <f>IFERROR(VLOOKUP(consArgamassa[[#This Row],[Serviço]],Tabela4[],6,FALSE),"")</f>
        <v>500</v>
      </c>
      <c r="O221" s="1" t="s">
        <v>274</v>
      </c>
      <c r="P221" s="13">
        <v>36892</v>
      </c>
    </row>
    <row r="222" spans="1:16" x14ac:dyDescent="0.25">
      <c r="A222" s="1" t="s">
        <v>191</v>
      </c>
      <c r="B222" s="7" t="str">
        <f>CONCATENATE("CNSARG",TEXT(consArgamassa[[#This Row],[Ordem]],"00000"))</f>
        <v>CNSARG00394</v>
      </c>
      <c r="C222" s="7">
        <v>394</v>
      </c>
      <c r="D222" s="10">
        <f>VLOOKUP(consArgamassa[[#This Row],[RecebID]],recebArgamassa[[RecebID]:[Insumo]],3,FALSE)</f>
        <v>45006.125</v>
      </c>
      <c r="E222" s="7" t="str">
        <f>VLOOKUP(consArgamassa[[#This Row],[RecebID]],recebArgamassa[[RecebID]:[Insumo]],4,FALSE)</f>
        <v>Argamassa Estabilizada</v>
      </c>
      <c r="F222" s="1" t="s">
        <v>248</v>
      </c>
      <c r="G222" s="1" t="s">
        <v>256</v>
      </c>
      <c r="H222" s="1">
        <v>4</v>
      </c>
      <c r="I222" s="1" t="s">
        <v>238</v>
      </c>
      <c r="J222" s="1" t="s">
        <v>238</v>
      </c>
      <c r="K222" s="2">
        <v>0.5</v>
      </c>
      <c r="L222" s="23">
        <f>IFERROR(VLOOKUP(consArgamassa[[#This Row],[Serviço]],Tabela4[],5,FALSE),"")</f>
        <v>1.98</v>
      </c>
      <c r="M222" s="22">
        <f>VLOOKUP(consArgamassa[[#This Row],[RecebID]],recebArgamassa[],14,FALSE)</f>
        <v>464.75</v>
      </c>
      <c r="N222" s="22">
        <f>IFERROR(VLOOKUP(consArgamassa[[#This Row],[Serviço]],Tabela4[],6,FALSE),"")</f>
        <v>500</v>
      </c>
      <c r="O222" s="1" t="s">
        <v>274</v>
      </c>
      <c r="P222" s="13">
        <v>36892</v>
      </c>
    </row>
    <row r="223" spans="1:16" x14ac:dyDescent="0.25">
      <c r="A223" s="1" t="s">
        <v>192</v>
      </c>
      <c r="B223" s="7" t="str">
        <f>CONCATENATE("CNSARG",TEXT(consArgamassa[[#This Row],[Ordem]],"00000"))</f>
        <v>CNSARG00395</v>
      </c>
      <c r="C223" s="7">
        <v>395</v>
      </c>
      <c r="D223" s="10">
        <f>VLOOKUP(consArgamassa[[#This Row],[RecebID]],recebArgamassa[[RecebID]:[Insumo]],3,FALSE)</f>
        <v>45007.125</v>
      </c>
      <c r="E223" s="7" t="str">
        <f>VLOOKUP(consArgamassa[[#This Row],[RecebID]],recebArgamassa[[RecebID]:[Insumo]],4,FALSE)</f>
        <v>Argamassa Estabilizada</v>
      </c>
      <c r="F223" s="1" t="s">
        <v>248</v>
      </c>
      <c r="G223" s="1" t="s">
        <v>256</v>
      </c>
      <c r="H223" s="1">
        <v>6</v>
      </c>
      <c r="I223" s="1" t="s">
        <v>238</v>
      </c>
      <c r="J223" s="1" t="s">
        <v>238</v>
      </c>
      <c r="K223" s="2">
        <v>0.5</v>
      </c>
      <c r="L223" s="23">
        <f>IFERROR(VLOOKUP(consArgamassa[[#This Row],[Serviço]],Tabela4[],5,FALSE),"")</f>
        <v>1.98</v>
      </c>
      <c r="M223" s="22">
        <f>VLOOKUP(consArgamassa[[#This Row],[RecebID]],recebArgamassa[],14,FALSE)</f>
        <v>464.75</v>
      </c>
      <c r="N223" s="22">
        <f>IFERROR(VLOOKUP(consArgamassa[[#This Row],[Serviço]],Tabela4[],6,FALSE),"")</f>
        <v>500</v>
      </c>
      <c r="O223" s="1" t="s">
        <v>274</v>
      </c>
      <c r="P223" s="13">
        <v>36892</v>
      </c>
    </row>
    <row r="224" spans="1:16" x14ac:dyDescent="0.25">
      <c r="A224" s="1" t="s">
        <v>193</v>
      </c>
      <c r="B224" s="7" t="str">
        <f>CONCATENATE("CNSARG",TEXT(consArgamassa[[#This Row],[Ordem]],"00000"))</f>
        <v>CNSARG00396</v>
      </c>
      <c r="C224" s="7">
        <v>396</v>
      </c>
      <c r="D224" s="10">
        <f>VLOOKUP(consArgamassa[[#This Row],[RecebID]],recebArgamassa[[RecebID]:[Insumo]],3,FALSE)</f>
        <v>45008.125</v>
      </c>
      <c r="E224" s="7" t="str">
        <f>VLOOKUP(consArgamassa[[#This Row],[RecebID]],recebArgamassa[[RecebID]:[Insumo]],4,FALSE)</f>
        <v>Argamassa Estabilizada</v>
      </c>
      <c r="F224" s="1" t="s">
        <v>248</v>
      </c>
      <c r="G224" s="1" t="s">
        <v>256</v>
      </c>
      <c r="H224" s="1">
        <v>6</v>
      </c>
      <c r="I224" s="1" t="s">
        <v>238</v>
      </c>
      <c r="J224" s="1" t="s">
        <v>238</v>
      </c>
      <c r="K224" s="2">
        <v>1</v>
      </c>
      <c r="L224" s="23">
        <f>IFERROR(VLOOKUP(consArgamassa[[#This Row],[Serviço]],Tabela4[],5,FALSE),"")</f>
        <v>1.98</v>
      </c>
      <c r="M224" s="22">
        <f>VLOOKUP(consArgamassa[[#This Row],[RecebID]],recebArgamassa[],14,FALSE)</f>
        <v>464.75</v>
      </c>
      <c r="N224" s="22">
        <f>IFERROR(VLOOKUP(consArgamassa[[#This Row],[Serviço]],Tabela4[],6,FALSE),"")</f>
        <v>500</v>
      </c>
      <c r="O224" s="1" t="s">
        <v>274</v>
      </c>
      <c r="P224" s="13">
        <v>36892</v>
      </c>
    </row>
    <row r="225" spans="1:16" x14ac:dyDescent="0.25">
      <c r="A225" s="1" t="s">
        <v>195</v>
      </c>
      <c r="B225" s="7" t="str">
        <f>CONCATENATE("CNSARG",TEXT(consArgamassa[[#This Row],[Ordem]],"00000"))</f>
        <v>CNSARG00398</v>
      </c>
      <c r="C225" s="7">
        <v>398</v>
      </c>
      <c r="D225" s="10">
        <f>VLOOKUP(consArgamassa[[#This Row],[RecebID]],recebArgamassa[[RecebID]:[Insumo]],3,FALSE)</f>
        <v>45012.125</v>
      </c>
      <c r="E225" s="7" t="str">
        <f>VLOOKUP(consArgamassa[[#This Row],[RecebID]],recebArgamassa[[RecebID]:[Insumo]],4,FALSE)</f>
        <v>Argamassa Estabilizada</v>
      </c>
      <c r="F225" s="1" t="s">
        <v>264</v>
      </c>
      <c r="G225" s="1" t="s">
        <v>256</v>
      </c>
      <c r="H225" s="1">
        <v>9</v>
      </c>
      <c r="I225" s="1" t="s">
        <v>9</v>
      </c>
      <c r="K225" s="2">
        <v>1</v>
      </c>
      <c r="L225" s="23">
        <f>IFERROR(VLOOKUP(consArgamassa[[#This Row],[Serviço]],Tabela4[],5,FALSE),"")</f>
        <v>1.3352499999999998</v>
      </c>
      <c r="M225" s="22">
        <f>VLOOKUP(consArgamassa[[#This Row],[RecebID]],recebArgamassa[],14,FALSE)</f>
        <v>464.75</v>
      </c>
      <c r="N225" s="22">
        <f>IFERROR(VLOOKUP(consArgamassa[[#This Row],[Serviço]],Tabela4[],6,FALSE),"")</f>
        <v>500</v>
      </c>
      <c r="O225" s="1" t="s">
        <v>274</v>
      </c>
      <c r="P225" s="13">
        <v>36892</v>
      </c>
    </row>
    <row r="226" spans="1:16" x14ac:dyDescent="0.25">
      <c r="A226" s="1" t="s">
        <v>196</v>
      </c>
      <c r="B226" s="7" t="str">
        <f>CONCATENATE("CNSARG",TEXT(consArgamassa[[#This Row],[Ordem]],"00000"))</f>
        <v>CNSARG00399</v>
      </c>
      <c r="C226" s="7">
        <v>399</v>
      </c>
      <c r="D226" s="10">
        <f>VLOOKUP(consArgamassa[[#This Row],[RecebID]],recebArgamassa[[RecebID]:[Insumo]],3,FALSE)</f>
        <v>44197</v>
      </c>
      <c r="E226" s="7" t="str">
        <f>VLOOKUP(consArgamassa[[#This Row],[RecebID]],recebArgamassa[[RecebID]:[Insumo]],4,FALSE)</f>
        <v>Argamassa Estabilizada</v>
      </c>
      <c r="F226" s="1" t="s">
        <v>248</v>
      </c>
      <c r="G226" s="1" t="s">
        <v>255</v>
      </c>
      <c r="H226" s="1">
        <v>7</v>
      </c>
      <c r="I226" s="1" t="s">
        <v>238</v>
      </c>
      <c r="J226" s="1" t="s">
        <v>238</v>
      </c>
      <c r="K226" s="2">
        <v>1</v>
      </c>
      <c r="L226" s="23">
        <f>IFERROR(VLOOKUP(consArgamassa[[#This Row],[Serviço]],Tabela4[],5,FALSE),"")</f>
        <v>1.98</v>
      </c>
      <c r="M226" s="22">
        <f>VLOOKUP(consArgamassa[[#This Row],[RecebID]],recebArgamassa[],14,FALSE)</f>
        <v>464.75</v>
      </c>
      <c r="N226" s="22">
        <f>IFERROR(VLOOKUP(consArgamassa[[#This Row],[Serviço]],Tabela4[],6,FALSE),"")</f>
        <v>500</v>
      </c>
      <c r="O226" s="1" t="s">
        <v>274</v>
      </c>
      <c r="P226" s="13">
        <v>36892</v>
      </c>
    </row>
    <row r="227" spans="1:16" x14ac:dyDescent="0.25">
      <c r="A227" s="1" t="s">
        <v>197</v>
      </c>
      <c r="B227" s="7" t="str">
        <f>CONCATENATE("CNSARG",TEXT(consArgamassa[[#This Row],[Ordem]],"00000"))</f>
        <v>CNSARG00400</v>
      </c>
      <c r="C227" s="7">
        <v>400</v>
      </c>
      <c r="D227" s="10">
        <f>VLOOKUP(consArgamassa[[#This Row],[RecebID]],recebArgamassa[[RecebID]:[Insumo]],3,FALSE)</f>
        <v>45013.125</v>
      </c>
      <c r="E227" s="7" t="str">
        <f>VLOOKUP(consArgamassa[[#This Row],[RecebID]],recebArgamassa[[RecebID]:[Insumo]],4,FALSE)</f>
        <v>Argamassa Estabilizada</v>
      </c>
      <c r="F227" s="1" t="s">
        <v>250</v>
      </c>
      <c r="G227" s="1" t="s">
        <v>255</v>
      </c>
      <c r="H227" s="1">
        <v>7</v>
      </c>
      <c r="I227" s="1" t="s">
        <v>238</v>
      </c>
      <c r="J227" s="1" t="s">
        <v>238</v>
      </c>
      <c r="K227" s="2">
        <v>1</v>
      </c>
      <c r="L227" s="23">
        <f>IFERROR(VLOOKUP(consArgamassa[[#This Row],[Serviço]],Tabela4[],5,FALSE),"")</f>
        <v>0</v>
      </c>
      <c r="M227" s="22">
        <f>VLOOKUP(consArgamassa[[#This Row],[RecebID]],recebArgamassa[],14,FALSE)</f>
        <v>464.75</v>
      </c>
      <c r="N227" s="22">
        <f>IFERROR(VLOOKUP(consArgamassa[[#This Row],[Serviço]],Tabela4[],6,FALSE),"")</f>
        <v>500</v>
      </c>
      <c r="O227" s="1" t="s">
        <v>274</v>
      </c>
      <c r="P227" s="13">
        <v>36892</v>
      </c>
    </row>
    <row r="228" spans="1:16" x14ac:dyDescent="0.25">
      <c r="A228" s="1" t="s">
        <v>198</v>
      </c>
      <c r="B228" s="7" t="str">
        <f>CONCATENATE("CNSARG",TEXT(consArgamassa[[#This Row],[Ordem]],"00000"))</f>
        <v>CNSARG00402</v>
      </c>
      <c r="C228" s="7">
        <v>402</v>
      </c>
      <c r="D228" s="10">
        <f>VLOOKUP(consArgamassa[[#This Row],[RecebID]],recebArgamassa[[RecebID]:[Insumo]],3,FALSE)</f>
        <v>45014.125</v>
      </c>
      <c r="E228" s="7" t="str">
        <f>VLOOKUP(consArgamassa[[#This Row],[RecebID]],recebArgamassa[[RecebID]:[Insumo]],4,FALSE)</f>
        <v>Argamassa Estabilizada</v>
      </c>
      <c r="F228" s="1" t="s">
        <v>247</v>
      </c>
      <c r="G228" s="1" t="s">
        <v>256</v>
      </c>
      <c r="H228" s="1">
        <v>7</v>
      </c>
      <c r="I228" s="1" t="s">
        <v>9</v>
      </c>
      <c r="K228" s="2">
        <v>1</v>
      </c>
      <c r="L228" s="23">
        <f>IFERROR(VLOOKUP(consArgamassa[[#This Row],[Serviço]],Tabela4[],5,FALSE),"")</f>
        <v>0</v>
      </c>
      <c r="M228" s="22">
        <f>VLOOKUP(consArgamassa[[#This Row],[RecebID]],recebArgamassa[],14,FALSE)</f>
        <v>464.75</v>
      </c>
      <c r="N228" s="22">
        <f>IFERROR(VLOOKUP(consArgamassa[[#This Row],[Serviço]],Tabela4[],6,FALSE),"")</f>
        <v>500</v>
      </c>
      <c r="O228" s="1" t="s">
        <v>274</v>
      </c>
      <c r="P228" s="13">
        <v>36892</v>
      </c>
    </row>
    <row r="229" spans="1:16" x14ac:dyDescent="0.25">
      <c r="A229" s="1" t="s">
        <v>199</v>
      </c>
      <c r="B229" s="7" t="str">
        <f>CONCATENATE("CNSARG",TEXT(consArgamassa[[#This Row],[Ordem]],"00000"))</f>
        <v>CNSARG00403</v>
      </c>
      <c r="C229" s="7">
        <v>403</v>
      </c>
      <c r="D229" s="10">
        <f>VLOOKUP(consArgamassa[[#This Row],[RecebID]],recebArgamassa[[RecebID]:[Insumo]],3,FALSE)</f>
        <v>45015.125</v>
      </c>
      <c r="E229" s="7" t="str">
        <f>VLOOKUP(consArgamassa[[#This Row],[RecebID]],recebArgamassa[[RecebID]:[Insumo]],4,FALSE)</f>
        <v>Argamassa Estabilizada</v>
      </c>
      <c r="F229" s="1" t="s">
        <v>239</v>
      </c>
      <c r="G229" s="1" t="s">
        <v>270</v>
      </c>
      <c r="H229" s="1" t="s">
        <v>297</v>
      </c>
      <c r="I229" s="1" t="s">
        <v>10</v>
      </c>
      <c r="J229" s="1" t="s">
        <v>239</v>
      </c>
      <c r="K229" s="2">
        <v>1</v>
      </c>
      <c r="L229" s="23">
        <f>IFERROR(VLOOKUP(consArgamassa[[#This Row],[Serviço]],Tabela4[],5,FALSE),"")</f>
        <v>0</v>
      </c>
      <c r="M229" s="22">
        <f>VLOOKUP(consArgamassa[[#This Row],[RecebID]],recebArgamassa[],14,FALSE)</f>
        <v>464.75</v>
      </c>
      <c r="N229" s="22">
        <f>IFERROR(VLOOKUP(consArgamassa[[#This Row],[Serviço]],Tabela4[],6,FALSE),"")</f>
        <v>500</v>
      </c>
      <c r="O229" s="1" t="s">
        <v>274</v>
      </c>
      <c r="P229" s="13">
        <v>36892</v>
      </c>
    </row>
    <row r="230" spans="1:16" x14ac:dyDescent="0.25">
      <c r="A230" s="1" t="s">
        <v>200</v>
      </c>
      <c r="B230" s="7" t="str">
        <f>CONCATENATE("CNSARG",TEXT(consArgamassa[[#This Row],[Ordem]],"00000"))</f>
        <v>CNSARG00404</v>
      </c>
      <c r="C230" s="7">
        <v>404</v>
      </c>
      <c r="D230" s="10">
        <f>VLOOKUP(consArgamassa[[#This Row],[RecebID]],recebArgamassa[[RecebID]:[Insumo]],3,FALSE)</f>
        <v>45016.125</v>
      </c>
      <c r="E230" s="7" t="str">
        <f>VLOOKUP(consArgamassa[[#This Row],[RecebID]],recebArgamassa[[RecebID]:[Insumo]],4,FALSE)</f>
        <v>Argamassa Estabilizada</v>
      </c>
      <c r="F230" s="1" t="s">
        <v>247</v>
      </c>
      <c r="G230" s="1" t="s">
        <v>255</v>
      </c>
      <c r="H230" s="1">
        <v>9</v>
      </c>
      <c r="I230" s="1" t="s">
        <v>8</v>
      </c>
      <c r="K230" s="2">
        <v>1</v>
      </c>
      <c r="L230" s="23">
        <f>IFERROR(VLOOKUP(consArgamassa[[#This Row],[Serviço]],Tabela4[],5,FALSE),"")</f>
        <v>0</v>
      </c>
      <c r="M230" s="22">
        <f>VLOOKUP(consArgamassa[[#This Row],[RecebID]],recebArgamassa[],14,FALSE)</f>
        <v>464.75</v>
      </c>
      <c r="N230" s="22">
        <f>IFERROR(VLOOKUP(consArgamassa[[#This Row],[Serviço]],Tabela4[],6,FALSE),"")</f>
        <v>500</v>
      </c>
      <c r="O230" s="1" t="s">
        <v>274</v>
      </c>
      <c r="P230" s="13">
        <v>36892</v>
      </c>
    </row>
    <row r="231" spans="1:16" x14ac:dyDescent="0.25">
      <c r="A231" s="1" t="s">
        <v>201</v>
      </c>
      <c r="B231" s="7" t="str">
        <f>CONCATENATE("CNSARG",TEXT(consArgamassa[[#This Row],[Ordem]],"00000"))</f>
        <v>CNSARG00405</v>
      </c>
      <c r="C231" s="7">
        <v>405</v>
      </c>
      <c r="D231" s="10">
        <f>VLOOKUP(consArgamassa[[#This Row],[RecebID]],recebArgamassa[[RecebID]:[Insumo]],3,FALSE)</f>
        <v>45019.125</v>
      </c>
      <c r="E231" s="7" t="str">
        <f>VLOOKUP(consArgamassa[[#This Row],[RecebID]],recebArgamassa[[RecebID]:[Insumo]],4,FALSE)</f>
        <v>Argamassa Estabilizada</v>
      </c>
      <c r="F231" s="1" t="s">
        <v>247</v>
      </c>
      <c r="G231" s="1" t="s">
        <v>255</v>
      </c>
      <c r="H231" s="1">
        <v>10</v>
      </c>
      <c r="I231" s="1" t="s">
        <v>8</v>
      </c>
      <c r="K231" s="2">
        <v>1.5</v>
      </c>
      <c r="L231" s="23">
        <f>IFERROR(VLOOKUP(consArgamassa[[#This Row],[Serviço]],Tabela4[],5,FALSE),"")</f>
        <v>0</v>
      </c>
      <c r="M231" s="22">
        <f>VLOOKUP(consArgamassa[[#This Row],[RecebID]],recebArgamassa[],14,FALSE)</f>
        <v>464.75</v>
      </c>
      <c r="N231" s="22">
        <f>IFERROR(VLOOKUP(consArgamassa[[#This Row],[Serviço]],Tabela4[],6,FALSE),"")</f>
        <v>500</v>
      </c>
      <c r="O231" s="1" t="s">
        <v>274</v>
      </c>
      <c r="P231" s="13">
        <v>36892</v>
      </c>
    </row>
    <row r="232" spans="1:16" x14ac:dyDescent="0.25">
      <c r="A232" s="1" t="s">
        <v>202</v>
      </c>
      <c r="B232" s="7" t="str">
        <f>CONCATENATE("CNSARG",TEXT(consArgamassa[[#This Row],[Ordem]],"00000"))</f>
        <v>CNSARG00406</v>
      </c>
      <c r="C232" s="7">
        <v>406</v>
      </c>
      <c r="D232" s="10">
        <f>VLOOKUP(consArgamassa[[#This Row],[RecebID]],recebArgamassa[[RecebID]:[Insumo]],3,FALSE)</f>
        <v>45020.125</v>
      </c>
      <c r="E232" s="7" t="str">
        <f>VLOOKUP(consArgamassa[[#This Row],[RecebID]],recebArgamassa[[RecebID]:[Insumo]],4,FALSE)</f>
        <v>Argamassa Estabilizada</v>
      </c>
      <c r="F232" s="1" t="s">
        <v>264</v>
      </c>
      <c r="G232" s="1" t="s">
        <v>255</v>
      </c>
      <c r="H232" s="1">
        <v>2</v>
      </c>
      <c r="I232" s="1" t="s">
        <v>9</v>
      </c>
      <c r="K232" s="2">
        <v>2.5</v>
      </c>
      <c r="L232" s="23">
        <f>IFERROR(VLOOKUP(consArgamassa[[#This Row],[Serviço]],Tabela4[],5,FALSE),"")</f>
        <v>1.3352499999999998</v>
      </c>
      <c r="M232" s="22">
        <f>VLOOKUP(consArgamassa[[#This Row],[RecebID]],recebArgamassa[],14,FALSE)</f>
        <v>464.75</v>
      </c>
      <c r="N232" s="22">
        <f>IFERROR(VLOOKUP(consArgamassa[[#This Row],[Serviço]],Tabela4[],6,FALSE),"")</f>
        <v>500</v>
      </c>
      <c r="O232" s="1" t="s">
        <v>274</v>
      </c>
      <c r="P232" s="13">
        <v>36892</v>
      </c>
    </row>
    <row r="233" spans="1:16" x14ac:dyDescent="0.25">
      <c r="A233" s="1" t="s">
        <v>203</v>
      </c>
      <c r="B233" s="7" t="str">
        <f>CONCATENATE("CNSARG",TEXT(consArgamassa[[#This Row],[Ordem]],"00000"))</f>
        <v>CNSARG00407</v>
      </c>
      <c r="C233" s="7">
        <v>407</v>
      </c>
      <c r="D233" s="10">
        <f>VLOOKUP(consArgamassa[[#This Row],[RecebID]],recebArgamassa[[RecebID]:[Insumo]],3,FALSE)</f>
        <v>45021.125</v>
      </c>
      <c r="E233" s="7" t="str">
        <f>VLOOKUP(consArgamassa[[#This Row],[RecebID]],recebArgamassa[[RecebID]:[Insumo]],4,FALSE)</f>
        <v>Argamassa Estabilizada</v>
      </c>
      <c r="F233" s="1" t="s">
        <v>250</v>
      </c>
      <c r="G233" s="1" t="s">
        <v>255</v>
      </c>
      <c r="H233" s="1">
        <v>7</v>
      </c>
      <c r="I233" s="1" t="s">
        <v>238</v>
      </c>
      <c r="J233" s="1" t="s">
        <v>238</v>
      </c>
      <c r="K233" s="2">
        <v>1</v>
      </c>
      <c r="L233" s="23">
        <f>IFERROR(VLOOKUP(consArgamassa[[#This Row],[Serviço]],Tabela4[],5,FALSE),"")</f>
        <v>0</v>
      </c>
      <c r="M233" s="22">
        <f>VLOOKUP(consArgamassa[[#This Row],[RecebID]],recebArgamassa[],14,FALSE)</f>
        <v>464.75</v>
      </c>
      <c r="N233" s="22">
        <f>IFERROR(VLOOKUP(consArgamassa[[#This Row],[Serviço]],Tabela4[],6,FALSE),"")</f>
        <v>500</v>
      </c>
      <c r="O233" s="1" t="s">
        <v>274</v>
      </c>
      <c r="P233" s="13">
        <v>36892</v>
      </c>
    </row>
    <row r="234" spans="1:16" x14ac:dyDescent="0.25">
      <c r="A234" s="1" t="s">
        <v>204</v>
      </c>
      <c r="B234" s="7" t="str">
        <f>CONCATENATE("CNSARG",TEXT(consArgamassa[[#This Row],[Ordem]],"00000"))</f>
        <v>CNSARG00408</v>
      </c>
      <c r="C234" s="7">
        <v>408</v>
      </c>
      <c r="D234" s="10">
        <f>VLOOKUP(consArgamassa[[#This Row],[RecebID]],recebArgamassa[[RecebID]:[Insumo]],3,FALSE)</f>
        <v>45026.125</v>
      </c>
      <c r="E234" s="7" t="str">
        <f>VLOOKUP(consArgamassa[[#This Row],[RecebID]],recebArgamassa[[RecebID]:[Insumo]],4,FALSE)</f>
        <v>Argamassa Estabilizada</v>
      </c>
      <c r="F234" s="1" t="s">
        <v>239</v>
      </c>
      <c r="G234" s="1" t="s">
        <v>270</v>
      </c>
      <c r="H234" s="1" t="s">
        <v>297</v>
      </c>
      <c r="I234" s="1" t="s">
        <v>10</v>
      </c>
      <c r="J234" s="1" t="s">
        <v>239</v>
      </c>
      <c r="K234" s="2">
        <v>1</v>
      </c>
      <c r="L234" s="23">
        <f>IFERROR(VLOOKUP(consArgamassa[[#This Row],[Serviço]],Tabela4[],5,FALSE),"")</f>
        <v>0</v>
      </c>
      <c r="M234" s="22">
        <f>VLOOKUP(consArgamassa[[#This Row],[RecebID]],recebArgamassa[],14,FALSE)</f>
        <v>464.75</v>
      </c>
      <c r="N234" s="22">
        <f>IFERROR(VLOOKUP(consArgamassa[[#This Row],[Serviço]],Tabela4[],6,FALSE),"")</f>
        <v>500</v>
      </c>
      <c r="O234" s="1" t="s">
        <v>274</v>
      </c>
      <c r="P234" s="13">
        <v>36892</v>
      </c>
    </row>
    <row r="235" spans="1:16" x14ac:dyDescent="0.25">
      <c r="A235" s="1" t="s">
        <v>205</v>
      </c>
      <c r="B235" s="7" t="str">
        <f>CONCATENATE("CNSARG",TEXT(consArgamassa[[#This Row],[Ordem]],"00000"))</f>
        <v>CNSARG00409</v>
      </c>
      <c r="C235" s="7">
        <v>409</v>
      </c>
      <c r="D235" s="10">
        <f>VLOOKUP(consArgamassa[[#This Row],[RecebID]],recebArgamassa[[RecebID]:[Insumo]],3,FALSE)</f>
        <v>45027.125</v>
      </c>
      <c r="E235" s="7" t="str">
        <f>VLOOKUP(consArgamassa[[#This Row],[RecebID]],recebArgamassa[[RecebID]:[Insumo]],4,FALSE)</f>
        <v>Argamassa Estabilizada</v>
      </c>
      <c r="F235" s="1" t="s">
        <v>247</v>
      </c>
      <c r="G235" s="1" t="s">
        <v>256</v>
      </c>
      <c r="H235" s="1">
        <v>10</v>
      </c>
      <c r="I235" s="1" t="s">
        <v>10</v>
      </c>
      <c r="K235" s="2">
        <v>1.5</v>
      </c>
      <c r="L235" s="23">
        <f>IFERROR(VLOOKUP(consArgamassa[[#This Row],[Serviço]],Tabela4[],5,FALSE),"")</f>
        <v>0</v>
      </c>
      <c r="M235" s="22">
        <f>VLOOKUP(consArgamassa[[#This Row],[RecebID]],recebArgamassa[],14,FALSE)</f>
        <v>464.75</v>
      </c>
      <c r="N235" s="22">
        <f>IFERROR(VLOOKUP(consArgamassa[[#This Row],[Serviço]],Tabela4[],6,FALSE),"")</f>
        <v>500</v>
      </c>
      <c r="O235" s="1" t="s">
        <v>274</v>
      </c>
      <c r="P235" s="13">
        <v>36892</v>
      </c>
    </row>
    <row r="236" spans="1:16" x14ac:dyDescent="0.25">
      <c r="A236" s="1" t="s">
        <v>206</v>
      </c>
      <c r="B236" s="7" t="str">
        <f>CONCATENATE("CNSARG",TEXT(consArgamassa[[#This Row],[Ordem]],"00000"))</f>
        <v>CNSARG00410</v>
      </c>
      <c r="C236" s="7">
        <v>410</v>
      </c>
      <c r="D236" s="10">
        <f>VLOOKUP(consArgamassa[[#This Row],[RecebID]],recebArgamassa[[RecebID]:[Insumo]],3,FALSE)</f>
        <v>45028.125</v>
      </c>
      <c r="E236" s="7" t="str">
        <f>VLOOKUP(consArgamassa[[#This Row],[RecebID]],recebArgamassa[[RecebID]:[Insumo]],4,FALSE)</f>
        <v>Argamassa Estabilizada</v>
      </c>
      <c r="F236" s="1" t="s">
        <v>239</v>
      </c>
      <c r="G236" s="1" t="s">
        <v>270</v>
      </c>
      <c r="H236" s="1" t="s">
        <v>297</v>
      </c>
      <c r="I236" s="1" t="s">
        <v>10</v>
      </c>
      <c r="J236" s="1" t="s">
        <v>239</v>
      </c>
      <c r="K236" s="2">
        <v>1</v>
      </c>
      <c r="L236" s="23">
        <f>IFERROR(VLOOKUP(consArgamassa[[#This Row],[Serviço]],Tabela4[],5,FALSE),"")</f>
        <v>0</v>
      </c>
      <c r="M236" s="22">
        <f>VLOOKUP(consArgamassa[[#This Row],[RecebID]],recebArgamassa[],14,FALSE)</f>
        <v>464.75</v>
      </c>
      <c r="N236" s="22">
        <f>IFERROR(VLOOKUP(consArgamassa[[#This Row],[Serviço]],Tabela4[],6,FALSE),"")</f>
        <v>500</v>
      </c>
      <c r="O236" s="1" t="s">
        <v>274</v>
      </c>
      <c r="P236" s="13">
        <v>36892</v>
      </c>
    </row>
    <row r="237" spans="1:16" x14ac:dyDescent="0.25">
      <c r="A237" s="1" t="s">
        <v>207</v>
      </c>
      <c r="B237" s="7" t="str">
        <f>CONCATENATE("CNSARG",TEXT(consArgamassa[[#This Row],[Ordem]],"00000"))</f>
        <v>CNSARG00411</v>
      </c>
      <c r="C237" s="7">
        <v>411</v>
      </c>
      <c r="D237" s="10">
        <f>VLOOKUP(consArgamassa[[#This Row],[RecebID]],recebArgamassa[[RecebID]:[Insumo]],3,FALSE)</f>
        <v>45029.125</v>
      </c>
      <c r="E237" s="7" t="str">
        <f>VLOOKUP(consArgamassa[[#This Row],[RecebID]],recebArgamassa[[RecebID]:[Insumo]],4,FALSE)</f>
        <v>Argamassa Estabilizada</v>
      </c>
      <c r="F237" s="1" t="s">
        <v>250</v>
      </c>
      <c r="G237" s="1" t="s">
        <v>270</v>
      </c>
      <c r="H237" s="1" t="s">
        <v>296</v>
      </c>
      <c r="I237" s="1" t="s">
        <v>10</v>
      </c>
      <c r="J237" s="1" t="s">
        <v>243</v>
      </c>
      <c r="K237" s="2">
        <v>1</v>
      </c>
      <c r="L237" s="23">
        <f>IFERROR(VLOOKUP(consArgamassa[[#This Row],[Serviço]],Tabela4[],5,FALSE),"")</f>
        <v>0</v>
      </c>
      <c r="M237" s="22">
        <f>VLOOKUP(consArgamassa[[#This Row],[RecebID]],recebArgamassa[],14,FALSE)</f>
        <v>464.75</v>
      </c>
      <c r="N237" s="22">
        <f>IFERROR(VLOOKUP(consArgamassa[[#This Row],[Serviço]],Tabela4[],6,FALSE),"")</f>
        <v>500</v>
      </c>
      <c r="O237" s="1" t="s">
        <v>274</v>
      </c>
      <c r="P237" s="13">
        <v>36892</v>
      </c>
    </row>
    <row r="238" spans="1:16" x14ac:dyDescent="0.25">
      <c r="A238" s="1" t="s">
        <v>208</v>
      </c>
      <c r="B238" s="7" t="str">
        <f>CONCATENATE("CNSARG",TEXT(consArgamassa[[#This Row],[Ordem]],"00000"))</f>
        <v>CNSARG00412</v>
      </c>
      <c r="C238" s="7">
        <v>412</v>
      </c>
      <c r="D238" s="10">
        <f>VLOOKUP(consArgamassa[[#This Row],[RecebID]],recebArgamassa[[RecebID]:[Insumo]],3,FALSE)</f>
        <v>45030.125</v>
      </c>
      <c r="E238" s="7" t="str">
        <f>VLOOKUP(consArgamassa[[#This Row],[RecebID]],recebArgamassa[[RecebID]:[Insumo]],4,FALSE)</f>
        <v>Argamassa Estabilizada</v>
      </c>
      <c r="F238" s="1" t="s">
        <v>239</v>
      </c>
      <c r="G238" s="1" t="s">
        <v>270</v>
      </c>
      <c r="H238" s="1" t="s">
        <v>297</v>
      </c>
      <c r="I238" s="1" t="s">
        <v>10</v>
      </c>
      <c r="J238" s="1" t="s">
        <v>239</v>
      </c>
      <c r="K238" s="2">
        <v>1</v>
      </c>
      <c r="L238" s="23">
        <f>IFERROR(VLOOKUP(consArgamassa[[#This Row],[Serviço]],Tabela4[],5,FALSE),"")</f>
        <v>0</v>
      </c>
      <c r="M238" s="22">
        <f>VLOOKUP(consArgamassa[[#This Row],[RecebID]],recebArgamassa[],14,FALSE)</f>
        <v>464.75</v>
      </c>
      <c r="N238" s="22">
        <f>IFERROR(VLOOKUP(consArgamassa[[#This Row],[Serviço]],Tabela4[],6,FALSE),"")</f>
        <v>500</v>
      </c>
      <c r="O238" s="1" t="s">
        <v>274</v>
      </c>
      <c r="P238" s="13">
        <v>36892</v>
      </c>
    </row>
    <row r="239" spans="1:16" x14ac:dyDescent="0.25">
      <c r="A239" s="1" t="s">
        <v>209</v>
      </c>
      <c r="B239" s="7" t="str">
        <f>CONCATENATE("CNSARG",TEXT(consArgamassa[[#This Row],[Ordem]],"00000"))</f>
        <v>CNSARG00413</v>
      </c>
      <c r="C239" s="7">
        <v>413</v>
      </c>
      <c r="D239" s="10">
        <f>VLOOKUP(consArgamassa[[#This Row],[RecebID]],recebArgamassa[[RecebID]:[Insumo]],3,FALSE)</f>
        <v>45033.125</v>
      </c>
      <c r="E239" s="7" t="str">
        <f>VLOOKUP(consArgamassa[[#This Row],[RecebID]],recebArgamassa[[RecebID]:[Insumo]],4,FALSE)</f>
        <v>Argamassa Estabilizada</v>
      </c>
      <c r="F239" s="1" t="s">
        <v>264</v>
      </c>
      <c r="G239" s="1" t="s">
        <v>256</v>
      </c>
      <c r="H239" s="1">
        <v>2</v>
      </c>
      <c r="I239" s="1" t="s">
        <v>7</v>
      </c>
      <c r="K239" s="2">
        <v>5</v>
      </c>
      <c r="L239" s="23">
        <f>IFERROR(VLOOKUP(consArgamassa[[#This Row],[Serviço]],Tabela4[],5,FALSE),"")</f>
        <v>1.3352499999999998</v>
      </c>
      <c r="M239" s="22">
        <f>VLOOKUP(consArgamassa[[#This Row],[RecebID]],recebArgamassa[],14,FALSE)</f>
        <v>464.75</v>
      </c>
      <c r="N239" s="22">
        <f>IFERROR(VLOOKUP(consArgamassa[[#This Row],[Serviço]],Tabela4[],6,FALSE),"")</f>
        <v>500</v>
      </c>
      <c r="O239" s="1" t="s">
        <v>274</v>
      </c>
      <c r="P239" s="13">
        <v>36892</v>
      </c>
    </row>
    <row r="240" spans="1:16" x14ac:dyDescent="0.25">
      <c r="A240" s="1" t="s">
        <v>210</v>
      </c>
      <c r="B240" s="7" t="str">
        <f>CONCATENATE("CNSARG",TEXT(consArgamassa[[#This Row],[Ordem]],"00000"))</f>
        <v>CNSARG00414</v>
      </c>
      <c r="C240" s="7">
        <v>414</v>
      </c>
      <c r="D240" s="10">
        <f>VLOOKUP(consArgamassa[[#This Row],[RecebID]],recebArgamassa[[RecebID]:[Insumo]],3,FALSE)</f>
        <v>45034.125</v>
      </c>
      <c r="E240" s="7" t="str">
        <f>VLOOKUP(consArgamassa[[#This Row],[RecebID]],recebArgamassa[[RecebID]:[Insumo]],4,FALSE)</f>
        <v>Argamassa Estabilizada</v>
      </c>
      <c r="F240" s="1" t="s">
        <v>264</v>
      </c>
      <c r="G240" s="1" t="s">
        <v>256</v>
      </c>
      <c r="H240" s="1">
        <v>2</v>
      </c>
      <c r="I240" s="1" t="s">
        <v>10</v>
      </c>
      <c r="K240" s="2">
        <v>1.5</v>
      </c>
      <c r="L240" s="23">
        <f>IFERROR(VLOOKUP(consArgamassa[[#This Row],[Serviço]],Tabela4[],5,FALSE),"")</f>
        <v>1.3352499999999998</v>
      </c>
      <c r="M240" s="22">
        <f>VLOOKUP(consArgamassa[[#This Row],[RecebID]],recebArgamassa[],14,FALSE)</f>
        <v>464.75</v>
      </c>
      <c r="N240" s="22">
        <f>IFERROR(VLOOKUP(consArgamassa[[#This Row],[Serviço]],Tabela4[],6,FALSE),"")</f>
        <v>500</v>
      </c>
      <c r="O240" s="1" t="s">
        <v>274</v>
      </c>
      <c r="P240" s="13">
        <v>36892</v>
      </c>
    </row>
    <row r="241" spans="1:16" x14ac:dyDescent="0.25">
      <c r="A241" s="1" t="s">
        <v>211</v>
      </c>
      <c r="B241" s="7" t="str">
        <f>CONCATENATE("CNSARG",TEXT(consArgamassa[[#This Row],[Ordem]],"00000"))</f>
        <v>CNSARG00415</v>
      </c>
      <c r="C241" s="7">
        <v>415</v>
      </c>
      <c r="D241" s="10">
        <f>VLOOKUP(consArgamassa[[#This Row],[RecebID]],recebArgamassa[[RecebID]:[Insumo]],3,FALSE)</f>
        <v>45035.125</v>
      </c>
      <c r="E241" s="7" t="str">
        <f>VLOOKUP(consArgamassa[[#This Row],[RecebID]],recebArgamassa[[RecebID]:[Insumo]],4,FALSE)</f>
        <v>Argamassa Estabilizada</v>
      </c>
      <c r="F241" s="1" t="s">
        <v>250</v>
      </c>
      <c r="G241" s="1" t="s">
        <v>270</v>
      </c>
      <c r="H241" s="1" t="s">
        <v>297</v>
      </c>
      <c r="I241" s="1" t="s">
        <v>10</v>
      </c>
      <c r="J241" s="1" t="s">
        <v>246</v>
      </c>
      <c r="K241" s="2">
        <v>1</v>
      </c>
      <c r="L241" s="23">
        <f>IFERROR(VLOOKUP(consArgamassa[[#This Row],[Serviço]],Tabela4[],5,FALSE),"")</f>
        <v>0</v>
      </c>
      <c r="M241" s="22">
        <f>VLOOKUP(consArgamassa[[#This Row],[RecebID]],recebArgamassa[],14,FALSE)</f>
        <v>464.75</v>
      </c>
      <c r="N241" s="22">
        <f>IFERROR(VLOOKUP(consArgamassa[[#This Row],[Serviço]],Tabela4[],6,FALSE),"")</f>
        <v>500</v>
      </c>
      <c r="O241" s="1" t="s">
        <v>274</v>
      </c>
      <c r="P241" s="13">
        <v>36892</v>
      </c>
    </row>
    <row r="242" spans="1:16" x14ac:dyDescent="0.25">
      <c r="A242" s="1" t="s">
        <v>212</v>
      </c>
      <c r="B242" s="7" t="str">
        <f>CONCATENATE("CNSARG",TEXT(consArgamassa[[#This Row],[Ordem]],"00000"))</f>
        <v>CNSARG00416</v>
      </c>
      <c r="C242" s="7">
        <v>416</v>
      </c>
      <c r="D242" s="10">
        <f>VLOOKUP(consArgamassa[[#This Row],[RecebID]],recebArgamassa[[RecebID]:[Insumo]],3,FALSE)</f>
        <v>45040.125</v>
      </c>
      <c r="E242" s="7" t="str">
        <f>VLOOKUP(consArgamassa[[#This Row],[RecebID]],recebArgamassa[[RecebID]:[Insumo]],4,FALSE)</f>
        <v>Argamassa Estabilizada</v>
      </c>
      <c r="F242" s="1" t="s">
        <v>250</v>
      </c>
      <c r="G242" s="1" t="s">
        <v>255</v>
      </c>
      <c r="H242" s="1">
        <v>9</v>
      </c>
      <c r="I242" s="1" t="s">
        <v>238</v>
      </c>
      <c r="J242" s="1" t="s">
        <v>238</v>
      </c>
      <c r="K242" s="2">
        <v>2</v>
      </c>
      <c r="L242" s="23">
        <f>IFERROR(VLOOKUP(consArgamassa[[#This Row],[Serviço]],Tabela4[],5,FALSE),"")</f>
        <v>0</v>
      </c>
      <c r="M242" s="22">
        <f>VLOOKUP(consArgamassa[[#This Row],[RecebID]],recebArgamassa[],14,FALSE)</f>
        <v>464.75</v>
      </c>
      <c r="N242" s="22">
        <f>IFERROR(VLOOKUP(consArgamassa[[#This Row],[Serviço]],Tabela4[],6,FALSE),"")</f>
        <v>500</v>
      </c>
      <c r="O242" s="1" t="s">
        <v>274</v>
      </c>
      <c r="P242" s="13">
        <v>36892</v>
      </c>
    </row>
    <row r="243" spans="1:16" x14ac:dyDescent="0.25">
      <c r="A243" s="1" t="s">
        <v>213</v>
      </c>
      <c r="B243" s="7" t="str">
        <f>CONCATENATE("CNSARG",TEXT(consArgamassa[[#This Row],[Ordem]],"00000"))</f>
        <v>CNSARG00417</v>
      </c>
      <c r="C243" s="7">
        <v>417</v>
      </c>
      <c r="D243" s="10">
        <f>VLOOKUP(consArgamassa[[#This Row],[RecebID]],recebArgamassa[[RecebID]:[Insumo]],3,FALSE)</f>
        <v>45041.125</v>
      </c>
      <c r="E243" s="7" t="str">
        <f>VLOOKUP(consArgamassa[[#This Row],[RecebID]],recebArgamassa[[RecebID]:[Insumo]],4,FALSE)</f>
        <v>Argamassa Estabilizada</v>
      </c>
      <c r="F243" s="1" t="s">
        <v>250</v>
      </c>
      <c r="G243" s="1" t="s">
        <v>256</v>
      </c>
      <c r="H243" s="1">
        <v>9</v>
      </c>
      <c r="I243" s="1" t="s">
        <v>238</v>
      </c>
      <c r="J243" s="1" t="s">
        <v>238</v>
      </c>
      <c r="K243" s="2">
        <v>1</v>
      </c>
      <c r="L243" s="23">
        <f>IFERROR(VLOOKUP(consArgamassa[[#This Row],[Serviço]],Tabela4[],5,FALSE),"")</f>
        <v>0</v>
      </c>
      <c r="M243" s="22">
        <f>VLOOKUP(consArgamassa[[#This Row],[RecebID]],recebArgamassa[],14,FALSE)</f>
        <v>464.75</v>
      </c>
      <c r="N243" s="22">
        <f>IFERROR(VLOOKUP(consArgamassa[[#This Row],[Serviço]],Tabela4[],6,FALSE),"")</f>
        <v>500</v>
      </c>
      <c r="O243" s="1" t="s">
        <v>274</v>
      </c>
      <c r="P243" s="13">
        <v>36892</v>
      </c>
    </row>
    <row r="244" spans="1:16" x14ac:dyDescent="0.25">
      <c r="A244" s="1" t="s">
        <v>214</v>
      </c>
      <c r="B244" s="7" t="str">
        <f>CONCATENATE("CNSARG",TEXT(consArgamassa[[#This Row],[Ordem]],"00000"))</f>
        <v>CNSARG00418</v>
      </c>
      <c r="C244" s="7">
        <v>418</v>
      </c>
      <c r="D244" s="10">
        <f>VLOOKUP(consArgamassa[[#This Row],[RecebID]],recebArgamassa[[RecebID]:[Insumo]],3,FALSE)</f>
        <v>44197</v>
      </c>
      <c r="E244" s="7" t="str">
        <f>VLOOKUP(consArgamassa[[#This Row],[RecebID]],recebArgamassa[[RecebID]:[Insumo]],4,FALSE)</f>
        <v>Argamassa Estabilizada</v>
      </c>
      <c r="F244" s="1" t="s">
        <v>250</v>
      </c>
      <c r="G244" s="1" t="s">
        <v>270</v>
      </c>
      <c r="H244" s="1" t="s">
        <v>297</v>
      </c>
      <c r="I244" s="1" t="s">
        <v>10</v>
      </c>
      <c r="J244" s="1" t="s">
        <v>246</v>
      </c>
      <c r="K244" s="2">
        <v>1</v>
      </c>
      <c r="L244" s="23">
        <f>IFERROR(VLOOKUP(consArgamassa[[#This Row],[Serviço]],Tabela4[],5,FALSE),"")</f>
        <v>0</v>
      </c>
      <c r="M244" s="22">
        <f>VLOOKUP(consArgamassa[[#This Row],[RecebID]],recebArgamassa[],14,FALSE)</f>
        <v>464.75</v>
      </c>
      <c r="N244" s="22">
        <f>IFERROR(VLOOKUP(consArgamassa[[#This Row],[Serviço]],Tabela4[],6,FALSE),"")</f>
        <v>500</v>
      </c>
      <c r="O244" s="1" t="s">
        <v>274</v>
      </c>
      <c r="P244" s="13">
        <v>36892</v>
      </c>
    </row>
    <row r="245" spans="1:16" x14ac:dyDescent="0.25">
      <c r="A245" s="1" t="s">
        <v>215</v>
      </c>
      <c r="B245" s="7" t="str">
        <f>CONCATENATE("CNSARG",TEXT(consArgamassa[[#This Row],[Ordem]],"00000"))</f>
        <v>CNSARG00419</v>
      </c>
      <c r="C245" s="7">
        <v>419</v>
      </c>
      <c r="D245" s="10">
        <f>VLOOKUP(consArgamassa[[#This Row],[RecebID]],recebArgamassa[[RecebID]:[Insumo]],3,FALSE)</f>
        <v>45044.125</v>
      </c>
      <c r="E245" s="7" t="str">
        <f>VLOOKUP(consArgamassa[[#This Row],[RecebID]],recebArgamassa[[RecebID]:[Insumo]],4,FALSE)</f>
        <v>Argamassa Estabilizada</v>
      </c>
      <c r="F245" s="1" t="s">
        <v>250</v>
      </c>
      <c r="G245" s="1" t="s">
        <v>270</v>
      </c>
      <c r="H245" s="1" t="s">
        <v>297</v>
      </c>
      <c r="I245" s="1" t="s">
        <v>10</v>
      </c>
      <c r="J245" s="1" t="s">
        <v>246</v>
      </c>
      <c r="K245" s="2">
        <v>1</v>
      </c>
      <c r="L245" s="23">
        <f>IFERROR(VLOOKUP(consArgamassa[[#This Row],[Serviço]],Tabela4[],5,FALSE),"")</f>
        <v>0</v>
      </c>
      <c r="M245" s="22">
        <f>VLOOKUP(consArgamassa[[#This Row],[RecebID]],recebArgamassa[],14,FALSE)</f>
        <v>464.75</v>
      </c>
      <c r="N245" s="22">
        <f>IFERROR(VLOOKUP(consArgamassa[[#This Row],[Serviço]],Tabela4[],6,FALSE),"")</f>
        <v>500</v>
      </c>
      <c r="O245" s="1" t="s">
        <v>274</v>
      </c>
      <c r="P245" s="13">
        <v>36892</v>
      </c>
    </row>
    <row r="246" spans="1:16" x14ac:dyDescent="0.25">
      <c r="A246" s="1" t="s">
        <v>216</v>
      </c>
      <c r="B246" s="7" t="str">
        <f>CONCATENATE("CNSARG",TEXT(consArgamassa[[#This Row],[Ordem]],"00000"))</f>
        <v>CNSARG00420</v>
      </c>
      <c r="C246" s="7">
        <v>420</v>
      </c>
      <c r="D246" s="10">
        <f>VLOOKUP(consArgamassa[[#This Row],[RecebID]],recebArgamassa[[RecebID]:[Insumo]],3,FALSE)</f>
        <v>45048.125</v>
      </c>
      <c r="E246" s="7" t="str">
        <f>VLOOKUP(consArgamassa[[#This Row],[RecebID]],recebArgamassa[[RecebID]:[Insumo]],4,FALSE)</f>
        <v>Argamassa Estabilizada</v>
      </c>
      <c r="F246" s="1" t="s">
        <v>250</v>
      </c>
      <c r="G246" s="1" t="s">
        <v>256</v>
      </c>
      <c r="H246" s="1">
        <v>9</v>
      </c>
      <c r="I246" s="1" t="s">
        <v>238</v>
      </c>
      <c r="J246" s="1" t="s">
        <v>238</v>
      </c>
      <c r="K246" s="2">
        <v>3</v>
      </c>
      <c r="L246" s="23">
        <f>IFERROR(VLOOKUP(consArgamassa[[#This Row],[Serviço]],Tabela4[],5,FALSE),"")</f>
        <v>0</v>
      </c>
      <c r="M246" s="22">
        <f>VLOOKUP(consArgamassa[[#This Row],[RecebID]],recebArgamassa[],14,FALSE)</f>
        <v>464.75</v>
      </c>
      <c r="N246" s="22">
        <f>IFERROR(VLOOKUP(consArgamassa[[#This Row],[Serviço]],Tabela4[],6,FALSE),"")</f>
        <v>500</v>
      </c>
      <c r="O246" s="1" t="s">
        <v>274</v>
      </c>
      <c r="P246" s="13">
        <v>36892</v>
      </c>
    </row>
    <row r="247" spans="1:16" x14ac:dyDescent="0.25">
      <c r="A247" s="1" t="s">
        <v>217</v>
      </c>
      <c r="B247" s="7" t="str">
        <f>CONCATENATE("CNSARG",TEXT(consArgamassa[[#This Row],[Ordem]],"00000"))</f>
        <v>CNSARG00421</v>
      </c>
      <c r="C247" s="7">
        <v>421</v>
      </c>
      <c r="D247" s="10">
        <f>VLOOKUP(consArgamassa[[#This Row],[RecebID]],recebArgamassa[[RecebID]:[Insumo]],3,FALSE)</f>
        <v>45050.125</v>
      </c>
      <c r="E247" s="7" t="str">
        <f>VLOOKUP(consArgamassa[[#This Row],[RecebID]],recebArgamassa[[RecebID]:[Insumo]],4,FALSE)</f>
        <v>Argamassa Estabilizada</v>
      </c>
      <c r="F247" s="1" t="s">
        <v>239</v>
      </c>
      <c r="G247" s="1" t="s">
        <v>270</v>
      </c>
      <c r="H247" s="1" t="s">
        <v>297</v>
      </c>
      <c r="I247" s="1" t="s">
        <v>10</v>
      </c>
      <c r="J247" s="1" t="s">
        <v>239</v>
      </c>
      <c r="K247" s="2">
        <v>1</v>
      </c>
      <c r="L247" s="23">
        <f>IFERROR(VLOOKUP(consArgamassa[[#This Row],[Serviço]],Tabela4[],5,FALSE),"")</f>
        <v>0</v>
      </c>
      <c r="M247" s="22">
        <f>VLOOKUP(consArgamassa[[#This Row],[RecebID]],recebArgamassa[],14,FALSE)</f>
        <v>464.75</v>
      </c>
      <c r="N247" s="22">
        <f>IFERROR(VLOOKUP(consArgamassa[[#This Row],[Serviço]],Tabela4[],6,FALSE),"")</f>
        <v>500</v>
      </c>
      <c r="O247" s="1" t="s">
        <v>274</v>
      </c>
      <c r="P247" s="13">
        <v>36892</v>
      </c>
    </row>
    <row r="248" spans="1:16" x14ac:dyDescent="0.25">
      <c r="A248" s="1" t="s">
        <v>218</v>
      </c>
      <c r="B248" s="7" t="str">
        <f>CONCATENATE("CNSARG",TEXT(consArgamassa[[#This Row],[Ordem]],"00000"))</f>
        <v>CNSARG00422</v>
      </c>
      <c r="C248" s="7">
        <v>422</v>
      </c>
      <c r="D248" s="10">
        <f>VLOOKUP(consArgamassa[[#This Row],[RecebID]],recebArgamassa[[RecebID]:[Insumo]],3,FALSE)</f>
        <v>45051.125</v>
      </c>
      <c r="E248" s="7" t="str">
        <f>VLOOKUP(consArgamassa[[#This Row],[RecebID]],recebArgamassa[[RecebID]:[Insumo]],4,FALSE)</f>
        <v>Argamassa Estabilizada</v>
      </c>
      <c r="F248" s="1" t="s">
        <v>250</v>
      </c>
      <c r="G248" s="1" t="s">
        <v>255</v>
      </c>
      <c r="H248" s="1">
        <v>3</v>
      </c>
      <c r="I248" s="1" t="s">
        <v>238</v>
      </c>
      <c r="J248" s="1" t="s">
        <v>238</v>
      </c>
      <c r="K248" s="2">
        <v>1</v>
      </c>
      <c r="L248" s="23">
        <f>IFERROR(VLOOKUP(consArgamassa[[#This Row],[Serviço]],Tabela4[],5,FALSE),"")</f>
        <v>0</v>
      </c>
      <c r="M248" s="22">
        <f>VLOOKUP(consArgamassa[[#This Row],[RecebID]],recebArgamassa[],14,FALSE)</f>
        <v>464.75</v>
      </c>
      <c r="N248" s="22">
        <f>IFERROR(VLOOKUP(consArgamassa[[#This Row],[Serviço]],Tabela4[],6,FALSE),"")</f>
        <v>500</v>
      </c>
      <c r="O248" s="1" t="s">
        <v>274</v>
      </c>
      <c r="P248" s="13">
        <v>36892</v>
      </c>
    </row>
    <row r="249" spans="1:16" x14ac:dyDescent="0.25">
      <c r="A249" s="1" t="s">
        <v>219</v>
      </c>
      <c r="B249" s="7" t="str">
        <f>CONCATENATE("CNSARG",TEXT(consArgamassa[[#This Row],[Ordem]],"00000"))</f>
        <v>CNSARG00423</v>
      </c>
      <c r="C249" s="7">
        <v>423</v>
      </c>
      <c r="D249" s="10">
        <f>VLOOKUP(consArgamassa[[#This Row],[RecebID]],recebArgamassa[[RecebID]:[Insumo]],3,FALSE)</f>
        <v>45054.125</v>
      </c>
      <c r="E249" s="7" t="str">
        <f>VLOOKUP(consArgamassa[[#This Row],[RecebID]],recebArgamassa[[RecebID]:[Insumo]],4,FALSE)</f>
        <v>Argamassa Estabilizada</v>
      </c>
      <c r="F249" s="1" t="s">
        <v>247</v>
      </c>
      <c r="G249" s="1" t="s">
        <v>256</v>
      </c>
      <c r="H249" s="1">
        <v>10</v>
      </c>
      <c r="I249" s="1" t="s">
        <v>8</v>
      </c>
      <c r="K249" s="2">
        <v>1.5</v>
      </c>
      <c r="L249" s="23">
        <f>IFERROR(VLOOKUP(consArgamassa[[#This Row],[Serviço]],Tabela4[],5,FALSE),"")</f>
        <v>0</v>
      </c>
      <c r="M249" s="22">
        <f>VLOOKUP(consArgamassa[[#This Row],[RecebID]],recebArgamassa[],14,FALSE)</f>
        <v>464.75</v>
      </c>
      <c r="N249" s="22">
        <f>IFERROR(VLOOKUP(consArgamassa[[#This Row],[Serviço]],Tabela4[],6,FALSE),"")</f>
        <v>500</v>
      </c>
      <c r="O249" s="1" t="s">
        <v>274</v>
      </c>
      <c r="P249" s="13">
        <v>36892</v>
      </c>
    </row>
    <row r="250" spans="1:16" x14ac:dyDescent="0.25">
      <c r="A250" s="1" t="s">
        <v>220</v>
      </c>
      <c r="B250" s="7" t="str">
        <f>CONCATENATE("CNSARG",TEXT(consArgamassa[[#This Row],[Ordem]],"00000"))</f>
        <v>CNSARG00424</v>
      </c>
      <c r="C250" s="7">
        <v>424</v>
      </c>
      <c r="D250" s="10">
        <f>VLOOKUP(consArgamassa[[#This Row],[RecebID]],recebArgamassa[[RecebID]:[Insumo]],3,FALSE)</f>
        <v>45055.125</v>
      </c>
      <c r="E250" s="7" t="str">
        <f>VLOOKUP(consArgamassa[[#This Row],[RecebID]],recebArgamassa[[RecebID]:[Insumo]],4,FALSE)</f>
        <v>Argamassa Estabilizada</v>
      </c>
      <c r="F250" s="1" t="s">
        <v>264</v>
      </c>
      <c r="G250" s="1" t="s">
        <v>256</v>
      </c>
      <c r="H250" s="1">
        <v>2</v>
      </c>
      <c r="I250" s="1" t="s">
        <v>7</v>
      </c>
      <c r="K250" s="2">
        <v>1</v>
      </c>
      <c r="L250" s="23">
        <f>IFERROR(VLOOKUP(consArgamassa[[#This Row],[Serviço]],Tabela4[],5,FALSE),"")</f>
        <v>1.3352499999999998</v>
      </c>
      <c r="M250" s="22">
        <f>VLOOKUP(consArgamassa[[#This Row],[RecebID]],recebArgamassa[],14,FALSE)</f>
        <v>464.75</v>
      </c>
      <c r="N250" s="22">
        <f>IFERROR(VLOOKUP(consArgamassa[[#This Row],[Serviço]],Tabela4[],6,FALSE),"")</f>
        <v>500</v>
      </c>
      <c r="O250" s="1" t="s">
        <v>274</v>
      </c>
      <c r="P250" s="13">
        <v>36892</v>
      </c>
    </row>
    <row r="251" spans="1:16" x14ac:dyDescent="0.25">
      <c r="A251" s="1" t="s">
        <v>221</v>
      </c>
      <c r="B251" s="7" t="str">
        <f>CONCATENATE("CNSARG",TEXT(consArgamassa[[#This Row],[Ordem]],"00000"))</f>
        <v>CNSARG00425</v>
      </c>
      <c r="C251" s="7">
        <v>425</v>
      </c>
      <c r="D251" s="10">
        <f>VLOOKUP(consArgamassa[[#This Row],[RecebID]],recebArgamassa[[RecebID]:[Insumo]],3,FALSE)</f>
        <v>45056.125</v>
      </c>
      <c r="E251" s="7" t="str">
        <f>VLOOKUP(consArgamassa[[#This Row],[RecebID]],recebArgamassa[[RecebID]:[Insumo]],4,FALSE)</f>
        <v>Argamassa Estabilizada</v>
      </c>
      <c r="F251" s="1" t="s">
        <v>247</v>
      </c>
      <c r="G251" s="1" t="s">
        <v>255</v>
      </c>
      <c r="H251" s="1">
        <v>3</v>
      </c>
      <c r="I251" s="1" t="s">
        <v>9</v>
      </c>
      <c r="K251" s="2">
        <v>1</v>
      </c>
      <c r="L251" s="23">
        <f>IFERROR(VLOOKUP(consArgamassa[[#This Row],[Serviço]],Tabela4[],5,FALSE),"")</f>
        <v>0</v>
      </c>
      <c r="M251" s="22">
        <f>VLOOKUP(consArgamassa[[#This Row],[RecebID]],recebArgamassa[],14,FALSE)</f>
        <v>464.75</v>
      </c>
      <c r="N251" s="22">
        <f>IFERROR(VLOOKUP(consArgamassa[[#This Row],[Serviço]],Tabela4[],6,FALSE),"")</f>
        <v>500</v>
      </c>
      <c r="O251" s="1" t="s">
        <v>274</v>
      </c>
      <c r="P251" s="13">
        <v>36892</v>
      </c>
    </row>
    <row r="252" spans="1:16" x14ac:dyDescent="0.25">
      <c r="A252" s="1" t="s">
        <v>222</v>
      </c>
      <c r="B252" s="7" t="str">
        <f>CONCATENATE("CNSARG",TEXT(consArgamassa[[#This Row],[Ordem]],"00000"))</f>
        <v>CNSARG00426</v>
      </c>
      <c r="C252" s="7">
        <v>426</v>
      </c>
      <c r="D252" s="10">
        <f>VLOOKUP(consArgamassa[[#This Row],[RecebID]],recebArgamassa[[RecebID]:[Insumo]],3,FALSE)</f>
        <v>45057.125</v>
      </c>
      <c r="E252" s="7" t="str">
        <f>VLOOKUP(consArgamassa[[#This Row],[RecebID]],recebArgamassa[[RecebID]:[Insumo]],4,FALSE)</f>
        <v>Argamassa Estabilizada</v>
      </c>
      <c r="F252" s="1" t="s">
        <v>247</v>
      </c>
      <c r="G252" s="1" t="s">
        <v>255</v>
      </c>
      <c r="H252" s="1">
        <v>3</v>
      </c>
      <c r="I252" s="1" t="s">
        <v>8</v>
      </c>
      <c r="K252" s="2">
        <v>1</v>
      </c>
      <c r="L252" s="23">
        <f>IFERROR(VLOOKUP(consArgamassa[[#This Row],[Serviço]],Tabela4[],5,FALSE),"")</f>
        <v>0</v>
      </c>
      <c r="M252" s="22">
        <f>VLOOKUP(consArgamassa[[#This Row],[RecebID]],recebArgamassa[],14,FALSE)</f>
        <v>464.75</v>
      </c>
      <c r="N252" s="22">
        <f>IFERROR(VLOOKUP(consArgamassa[[#This Row],[Serviço]],Tabela4[],6,FALSE),"")</f>
        <v>500</v>
      </c>
      <c r="O252" s="1" t="s">
        <v>274</v>
      </c>
      <c r="P252" s="13">
        <v>36892</v>
      </c>
    </row>
    <row r="253" spans="1:16" x14ac:dyDescent="0.25">
      <c r="A253" s="1" t="s">
        <v>223</v>
      </c>
      <c r="B253" s="7" t="str">
        <f>CONCATENATE("CNSARG",TEXT(consArgamassa[[#This Row],[Ordem]],"00000"))</f>
        <v>CNSARG00427</v>
      </c>
      <c r="C253" s="7">
        <v>427</v>
      </c>
      <c r="D253" s="10">
        <f>VLOOKUP(consArgamassa[[#This Row],[RecebID]],recebArgamassa[[RecebID]:[Insumo]],3,FALSE)</f>
        <v>45061.125</v>
      </c>
      <c r="E253" s="7" t="str">
        <f>VLOOKUP(consArgamassa[[#This Row],[RecebID]],recebArgamassa[[RecebID]:[Insumo]],4,FALSE)</f>
        <v>Argamassa Estabilizada</v>
      </c>
      <c r="F253" s="1" t="s">
        <v>239</v>
      </c>
      <c r="G253" s="1" t="s">
        <v>270</v>
      </c>
      <c r="H253" s="1" t="s">
        <v>297</v>
      </c>
      <c r="I253" s="1" t="s">
        <v>10</v>
      </c>
      <c r="J253" s="1" t="s">
        <v>239</v>
      </c>
      <c r="K253" s="2">
        <v>2</v>
      </c>
      <c r="L253" s="23">
        <f>IFERROR(VLOOKUP(consArgamassa[[#This Row],[Serviço]],Tabela4[],5,FALSE),"")</f>
        <v>0</v>
      </c>
      <c r="M253" s="22">
        <f>VLOOKUP(consArgamassa[[#This Row],[RecebID]],recebArgamassa[],14,FALSE)</f>
        <v>464.75</v>
      </c>
      <c r="N253" s="22">
        <f>IFERROR(VLOOKUP(consArgamassa[[#This Row],[Serviço]],Tabela4[],6,FALSE),"")</f>
        <v>500</v>
      </c>
      <c r="O253" s="1" t="s">
        <v>274</v>
      </c>
      <c r="P253" s="13">
        <v>36892</v>
      </c>
    </row>
    <row r="254" spans="1:16" x14ac:dyDescent="0.25">
      <c r="A254" s="1" t="s">
        <v>224</v>
      </c>
      <c r="B254" s="7" t="str">
        <f>CONCATENATE("CNSARG",TEXT(consArgamassa[[#This Row],[Ordem]],"00000"))</f>
        <v>CNSARG00428</v>
      </c>
      <c r="C254" s="7">
        <v>428</v>
      </c>
      <c r="D254" s="10">
        <f>VLOOKUP(consArgamassa[[#This Row],[RecebID]],recebArgamassa[[RecebID]:[Insumo]],3,FALSE)</f>
        <v>45062.125</v>
      </c>
      <c r="E254" s="7" t="str">
        <f>VLOOKUP(consArgamassa[[#This Row],[RecebID]],recebArgamassa[[RecebID]:[Insumo]],4,FALSE)</f>
        <v>Argamassa Estabilizada</v>
      </c>
      <c r="F254" s="1" t="s">
        <v>248</v>
      </c>
      <c r="G254" s="1" t="s">
        <v>256</v>
      </c>
      <c r="H254" s="1">
        <v>10</v>
      </c>
      <c r="I254" s="1" t="s">
        <v>238</v>
      </c>
      <c r="J254" s="1" t="s">
        <v>238</v>
      </c>
      <c r="K254" s="2">
        <v>1</v>
      </c>
      <c r="L254" s="23">
        <f>IFERROR(VLOOKUP(consArgamassa[[#This Row],[Serviço]],Tabela4[],5,FALSE),"")</f>
        <v>1.98</v>
      </c>
      <c r="M254" s="22">
        <f>VLOOKUP(consArgamassa[[#This Row],[RecebID]],recebArgamassa[],14,FALSE)</f>
        <v>464.75</v>
      </c>
      <c r="N254" s="22">
        <f>IFERROR(VLOOKUP(consArgamassa[[#This Row],[Serviço]],Tabela4[],6,FALSE),"")</f>
        <v>500</v>
      </c>
      <c r="O254" s="1" t="s">
        <v>274</v>
      </c>
      <c r="P254" s="13">
        <v>36892</v>
      </c>
    </row>
    <row r="255" spans="1:16" x14ac:dyDescent="0.25">
      <c r="A255" s="1" t="s">
        <v>225</v>
      </c>
      <c r="B255" s="7" t="str">
        <f>CONCATENATE("CNSARG",TEXT(consArgamassa[[#This Row],[Ordem]],"00000"))</f>
        <v>CNSARG00429</v>
      </c>
      <c r="C255" s="7">
        <v>429</v>
      </c>
      <c r="D255" s="10">
        <f>VLOOKUP(consArgamassa[[#This Row],[RecebID]],recebArgamassa[[RecebID]:[Insumo]],3,FALSE)</f>
        <v>45063.125</v>
      </c>
      <c r="E255" s="7" t="str">
        <f>VLOOKUP(consArgamassa[[#This Row],[RecebID]],recebArgamassa[[RecebID]:[Insumo]],4,FALSE)</f>
        <v>Argamassa Estabilizada</v>
      </c>
      <c r="F255" s="1" t="s">
        <v>248</v>
      </c>
      <c r="G255" s="1" t="s">
        <v>255</v>
      </c>
      <c r="H255" s="1">
        <v>3</v>
      </c>
      <c r="I255" s="1" t="s">
        <v>238</v>
      </c>
      <c r="J255" s="1" t="s">
        <v>238</v>
      </c>
      <c r="K255" s="2">
        <v>2.5</v>
      </c>
      <c r="L255" s="23">
        <f>IFERROR(VLOOKUP(consArgamassa[[#This Row],[Serviço]],Tabela4[],5,FALSE),"")</f>
        <v>1.98</v>
      </c>
      <c r="M255" s="22">
        <f>VLOOKUP(consArgamassa[[#This Row],[RecebID]],recebArgamassa[],14,FALSE)</f>
        <v>464.75</v>
      </c>
      <c r="N255" s="22">
        <f>IFERROR(VLOOKUP(consArgamassa[[#This Row],[Serviço]],Tabela4[],6,FALSE),"")</f>
        <v>500</v>
      </c>
      <c r="O255" s="1" t="s">
        <v>274</v>
      </c>
      <c r="P255" s="13">
        <v>36892</v>
      </c>
    </row>
    <row r="256" spans="1:16" x14ac:dyDescent="0.25">
      <c r="A256" s="1" t="s">
        <v>226</v>
      </c>
      <c r="B256" s="7" t="str">
        <f>CONCATENATE("CNSARG",TEXT(consArgamassa[[#This Row],[Ordem]],"00000"))</f>
        <v>CNSARG00430</v>
      </c>
      <c r="C256" s="7">
        <v>430</v>
      </c>
      <c r="D256" s="10">
        <f>VLOOKUP(consArgamassa[[#This Row],[RecebID]],recebArgamassa[[RecebID]:[Insumo]],3,FALSE)</f>
        <v>45063.125</v>
      </c>
      <c r="E256" s="7" t="str">
        <f>VLOOKUP(consArgamassa[[#This Row],[RecebID]],recebArgamassa[[RecebID]:[Insumo]],4,FALSE)</f>
        <v>Argamassa Estabilizada</v>
      </c>
      <c r="F256" s="1" t="s">
        <v>248</v>
      </c>
      <c r="G256" s="1" t="s">
        <v>255</v>
      </c>
      <c r="H256" s="1">
        <v>3</v>
      </c>
      <c r="I256" s="1" t="s">
        <v>238</v>
      </c>
      <c r="J256" s="1" t="s">
        <v>238</v>
      </c>
      <c r="K256" s="2">
        <v>2.5</v>
      </c>
      <c r="L256" s="23">
        <f>IFERROR(VLOOKUP(consArgamassa[[#This Row],[Serviço]],Tabela4[],5,FALSE),"")</f>
        <v>1.98</v>
      </c>
      <c r="M256" s="22">
        <f>VLOOKUP(consArgamassa[[#This Row],[RecebID]],recebArgamassa[],14,FALSE)</f>
        <v>464.75</v>
      </c>
      <c r="N256" s="22">
        <f>IFERROR(VLOOKUP(consArgamassa[[#This Row],[Serviço]],Tabela4[],6,FALSE),"")</f>
        <v>500</v>
      </c>
      <c r="O256" s="1" t="s">
        <v>274</v>
      </c>
      <c r="P256" s="13">
        <v>36892</v>
      </c>
    </row>
    <row r="257" spans="1:16" x14ac:dyDescent="0.25">
      <c r="A257" s="1" t="s">
        <v>227</v>
      </c>
      <c r="B257" s="7" t="str">
        <f>CONCATENATE("CNSARG",TEXT(consArgamassa[[#This Row],[Ordem]],"00000"))</f>
        <v>CNSARG00431</v>
      </c>
      <c r="C257" s="7">
        <v>431</v>
      </c>
      <c r="D257" s="10">
        <f>VLOOKUP(consArgamassa[[#This Row],[RecebID]],recebArgamassa[[RecebID]:[Insumo]],3,FALSE)</f>
        <v>45068.125</v>
      </c>
      <c r="E257" s="7" t="str">
        <f>VLOOKUP(consArgamassa[[#This Row],[RecebID]],recebArgamassa[[RecebID]:[Insumo]],4,FALSE)</f>
        <v>Argamassa Estabilizada</v>
      </c>
      <c r="F257" s="1" t="s">
        <v>248</v>
      </c>
      <c r="G257" s="1" t="s">
        <v>255</v>
      </c>
      <c r="H257" s="1">
        <v>3</v>
      </c>
      <c r="I257" s="1" t="s">
        <v>238</v>
      </c>
      <c r="J257" s="1" t="s">
        <v>238</v>
      </c>
      <c r="K257" s="2">
        <v>1.5</v>
      </c>
      <c r="L257" s="23">
        <f>IFERROR(VLOOKUP(consArgamassa[[#This Row],[Serviço]],Tabela4[],5,FALSE),"")</f>
        <v>1.98</v>
      </c>
      <c r="M257" s="22">
        <f>VLOOKUP(consArgamassa[[#This Row],[RecebID]],recebArgamassa[],14,FALSE)</f>
        <v>464.75</v>
      </c>
      <c r="N257" s="22">
        <f>IFERROR(VLOOKUP(consArgamassa[[#This Row],[Serviço]],Tabela4[],6,FALSE),"")</f>
        <v>500</v>
      </c>
      <c r="O257" s="1" t="s">
        <v>274</v>
      </c>
      <c r="P257" s="13">
        <v>36892</v>
      </c>
    </row>
    <row r="258" spans="1:16" x14ac:dyDescent="0.25">
      <c r="A258" s="1" t="s">
        <v>228</v>
      </c>
      <c r="B258" s="7" t="str">
        <f>CONCATENATE("CNSARG",TEXT(consArgamassa[[#This Row],[Ordem]],"00000"))</f>
        <v>CNSARG00432</v>
      </c>
      <c r="C258" s="7">
        <v>432</v>
      </c>
      <c r="D258" s="10">
        <f>VLOOKUP(consArgamassa[[#This Row],[RecebID]],recebArgamassa[[RecebID]:[Insumo]],3,FALSE)</f>
        <v>45069.125</v>
      </c>
      <c r="E258" s="7" t="str">
        <f>VLOOKUP(consArgamassa[[#This Row],[RecebID]],recebArgamassa[[RecebID]:[Insumo]],4,FALSE)</f>
        <v>Argamassa Estabilizada</v>
      </c>
      <c r="F258" s="1" t="s">
        <v>247</v>
      </c>
      <c r="G258" s="1" t="s">
        <v>256</v>
      </c>
      <c r="H258" s="1">
        <v>3</v>
      </c>
      <c r="I258" s="1" t="s">
        <v>8</v>
      </c>
      <c r="K258" s="2">
        <v>1.5</v>
      </c>
      <c r="L258" s="23">
        <f>IFERROR(VLOOKUP(consArgamassa[[#This Row],[Serviço]],Tabela4[],5,FALSE),"")</f>
        <v>0</v>
      </c>
      <c r="M258" s="22">
        <f>VLOOKUP(consArgamassa[[#This Row],[RecebID]],recebArgamassa[],14,FALSE)</f>
        <v>464.75</v>
      </c>
      <c r="N258" s="22">
        <f>IFERROR(VLOOKUP(consArgamassa[[#This Row],[Serviço]],Tabela4[],6,FALSE),"")</f>
        <v>500</v>
      </c>
      <c r="O258" s="1" t="s">
        <v>274</v>
      </c>
      <c r="P258" s="13">
        <v>36892</v>
      </c>
    </row>
    <row r="259" spans="1:16" x14ac:dyDescent="0.25">
      <c r="A259" s="1" t="s">
        <v>229</v>
      </c>
      <c r="B259" s="7" t="str">
        <f>CONCATENATE("CNSARG",TEXT(consArgamassa[[#This Row],[Ordem]],"00000"))</f>
        <v>CNSARG00433</v>
      </c>
      <c r="C259" s="7">
        <v>433</v>
      </c>
      <c r="D259" s="10">
        <f>VLOOKUP(consArgamassa[[#This Row],[RecebID]],recebArgamassa[[RecebID]:[Insumo]],3,FALSE)</f>
        <v>45070.125</v>
      </c>
      <c r="E259" s="7" t="str">
        <f>VLOOKUP(consArgamassa[[#This Row],[RecebID]],recebArgamassa[[RecebID]:[Insumo]],4,FALSE)</f>
        <v>Argamassa Estabilizada</v>
      </c>
      <c r="F259" s="1" t="s">
        <v>264</v>
      </c>
      <c r="G259" s="1" t="s">
        <v>255</v>
      </c>
      <c r="H259" s="1">
        <v>1</v>
      </c>
      <c r="I259" s="1" t="s">
        <v>238</v>
      </c>
      <c r="J259" s="1" t="s">
        <v>238</v>
      </c>
      <c r="K259" s="2">
        <v>3.5</v>
      </c>
      <c r="L259" s="23">
        <f>IFERROR(VLOOKUP(consArgamassa[[#This Row],[Serviço]],Tabela4[],5,FALSE),"")</f>
        <v>1.3352499999999998</v>
      </c>
      <c r="M259" s="22">
        <f>VLOOKUP(consArgamassa[[#This Row],[RecebID]],recebArgamassa[],14,FALSE)</f>
        <v>464.75</v>
      </c>
      <c r="N259" s="22">
        <f>IFERROR(VLOOKUP(consArgamassa[[#This Row],[Serviço]],Tabela4[],6,FALSE),"")</f>
        <v>500</v>
      </c>
      <c r="O259" s="1" t="s">
        <v>274</v>
      </c>
      <c r="P259" s="13">
        <v>36892</v>
      </c>
    </row>
    <row r="260" spans="1:16" x14ac:dyDescent="0.25">
      <c r="A260" s="1" t="s">
        <v>230</v>
      </c>
      <c r="B260" s="7" t="str">
        <f>CONCATENATE("CNSARG",TEXT(consArgamassa[[#This Row],[Ordem]],"00000"))</f>
        <v>CNSARG00434</v>
      </c>
      <c r="C260" s="7">
        <v>434</v>
      </c>
      <c r="D260" s="10">
        <f>VLOOKUP(consArgamassa[[#This Row],[RecebID]],recebArgamassa[[RecebID]:[Insumo]],3,FALSE)</f>
        <v>45075.125</v>
      </c>
      <c r="E260" s="7" t="str">
        <f>VLOOKUP(consArgamassa[[#This Row],[RecebID]],recebArgamassa[[RecebID]:[Insumo]],4,FALSE)</f>
        <v>Argamassa Estabilizada</v>
      </c>
      <c r="F260" s="1" t="s">
        <v>248</v>
      </c>
      <c r="G260" s="1" t="s">
        <v>256</v>
      </c>
      <c r="H260" s="1">
        <v>3</v>
      </c>
      <c r="I260" s="1" t="s">
        <v>238</v>
      </c>
      <c r="J260" s="1" t="s">
        <v>238</v>
      </c>
      <c r="K260" s="2">
        <v>1</v>
      </c>
      <c r="L260" s="23">
        <f>IFERROR(VLOOKUP(consArgamassa[[#This Row],[Serviço]],Tabela4[],5,FALSE),"")</f>
        <v>1.98</v>
      </c>
      <c r="M260" s="22">
        <f>VLOOKUP(consArgamassa[[#This Row],[RecebID]],recebArgamassa[],14,FALSE)</f>
        <v>464.75</v>
      </c>
      <c r="N260" s="22">
        <f>IFERROR(VLOOKUP(consArgamassa[[#This Row],[Serviço]],Tabela4[],6,FALSE),"")</f>
        <v>500</v>
      </c>
      <c r="O260" s="1" t="s">
        <v>274</v>
      </c>
      <c r="P260" s="13">
        <v>36892</v>
      </c>
    </row>
    <row r="261" spans="1:16" x14ac:dyDescent="0.25">
      <c r="A261" s="1" t="s">
        <v>231</v>
      </c>
      <c r="B261" s="7" t="str">
        <f>CONCATENATE("CNSARG",TEXT(consArgamassa[[#This Row],[Ordem]],"00000"))</f>
        <v>CNSARG00435</v>
      </c>
      <c r="C261" s="7">
        <v>435</v>
      </c>
      <c r="D261" s="10">
        <f>VLOOKUP(consArgamassa[[#This Row],[RecebID]],recebArgamassa[[RecebID]:[Insumo]],3,FALSE)</f>
        <v>44197</v>
      </c>
      <c r="E261" s="7" t="str">
        <f>VLOOKUP(consArgamassa[[#This Row],[RecebID]],recebArgamassa[[RecebID]:[Insumo]],4,FALSE)</f>
        <v>Argamassa Estabilizada</v>
      </c>
      <c r="F261" s="1" t="s">
        <v>247</v>
      </c>
      <c r="G261" s="1" t="s">
        <v>256</v>
      </c>
      <c r="H261" s="1">
        <v>3</v>
      </c>
      <c r="I261" s="1" t="s">
        <v>10</v>
      </c>
      <c r="K261" s="2">
        <v>2</v>
      </c>
      <c r="L261" s="23">
        <f>IFERROR(VLOOKUP(consArgamassa[[#This Row],[Serviço]],Tabela4[],5,FALSE),"")</f>
        <v>0</v>
      </c>
      <c r="M261" s="22">
        <f>VLOOKUP(consArgamassa[[#This Row],[RecebID]],recebArgamassa[],14,FALSE)</f>
        <v>464.75</v>
      </c>
      <c r="N261" s="22">
        <f>IFERROR(VLOOKUP(consArgamassa[[#This Row],[Serviço]],Tabela4[],6,FALSE),"")</f>
        <v>500</v>
      </c>
      <c r="O261" s="1" t="s">
        <v>274</v>
      </c>
      <c r="P261" s="13">
        <v>36892</v>
      </c>
    </row>
    <row r="262" spans="1:16" x14ac:dyDescent="0.25">
      <c r="A262" s="1" t="s">
        <v>232</v>
      </c>
      <c r="B262" s="7" t="str">
        <f>CONCATENATE("CNSARG",TEXT(consArgamassa[[#This Row],[Ordem]],"00000"))</f>
        <v>CNSARG00436</v>
      </c>
      <c r="C262" s="7">
        <v>436</v>
      </c>
      <c r="D262" s="10">
        <f>VLOOKUP(consArgamassa[[#This Row],[RecebID]],recebArgamassa[[RecebID]:[Insumo]],3,FALSE)</f>
        <v>45076.125</v>
      </c>
      <c r="E262" s="7" t="str">
        <f>VLOOKUP(consArgamassa[[#This Row],[RecebID]],recebArgamassa[[RecebID]:[Insumo]],4,FALSE)</f>
        <v>Argamassa Estabilizada</v>
      </c>
      <c r="F262" s="1" t="s">
        <v>247</v>
      </c>
      <c r="G262" s="1" t="s">
        <v>256</v>
      </c>
      <c r="H262" s="1">
        <v>3</v>
      </c>
      <c r="I262" s="1" t="s">
        <v>10</v>
      </c>
      <c r="K262" s="2">
        <v>2</v>
      </c>
      <c r="L262" s="23">
        <f>IFERROR(VLOOKUP(consArgamassa[[#This Row],[Serviço]],Tabela4[],5,FALSE),"")</f>
        <v>0</v>
      </c>
      <c r="M262" s="22">
        <f>VLOOKUP(consArgamassa[[#This Row],[RecebID]],recebArgamassa[],14,FALSE)</f>
        <v>464.75</v>
      </c>
      <c r="N262" s="22">
        <f>IFERROR(VLOOKUP(consArgamassa[[#This Row],[Serviço]],Tabela4[],6,FALSE),"")</f>
        <v>500</v>
      </c>
      <c r="O262" s="1" t="s">
        <v>274</v>
      </c>
      <c r="P262" s="13">
        <v>36892</v>
      </c>
    </row>
    <row r="263" spans="1:16" x14ac:dyDescent="0.25">
      <c r="A263" s="1" t="s">
        <v>233</v>
      </c>
      <c r="B263" s="7" t="str">
        <f>CONCATENATE("CNSARG",TEXT(consArgamassa[[#This Row],[Ordem]],"00000"))</f>
        <v>CNSARG00437</v>
      </c>
      <c r="C263" s="7">
        <v>437</v>
      </c>
      <c r="D263" s="10">
        <f>VLOOKUP(consArgamassa[[#This Row],[RecebID]],recebArgamassa[[RecebID]:[Insumo]],3,FALSE)</f>
        <v>44197</v>
      </c>
      <c r="E263" s="7" t="str">
        <f>VLOOKUP(consArgamassa[[#This Row],[RecebID]],recebArgamassa[[RecebID]:[Insumo]],4,FALSE)</f>
        <v>Argamassa Estabilizada</v>
      </c>
      <c r="F263" s="1" t="s">
        <v>264</v>
      </c>
      <c r="G263" s="1" t="s">
        <v>270</v>
      </c>
      <c r="H263" s="1" t="s">
        <v>297</v>
      </c>
      <c r="I263" s="1" t="s">
        <v>10</v>
      </c>
      <c r="J263" s="1" t="s">
        <v>241</v>
      </c>
      <c r="K263" s="2">
        <v>1</v>
      </c>
      <c r="L263" s="23">
        <f>IFERROR(VLOOKUP(consArgamassa[[#This Row],[Serviço]],Tabela4[],5,FALSE),"")</f>
        <v>1.3352499999999998</v>
      </c>
      <c r="M263" s="22">
        <f>VLOOKUP(consArgamassa[[#This Row],[RecebID]],recebArgamassa[],14,FALSE)</f>
        <v>464.75</v>
      </c>
      <c r="N263" s="22">
        <f>IFERROR(VLOOKUP(consArgamassa[[#This Row],[Serviço]],Tabela4[],6,FALSE),"")</f>
        <v>500</v>
      </c>
      <c r="O263" s="1" t="s">
        <v>274</v>
      </c>
      <c r="P263" s="13">
        <v>36892</v>
      </c>
    </row>
    <row r="264" spans="1:16" x14ac:dyDescent="0.25">
      <c r="A264" s="1" t="s">
        <v>234</v>
      </c>
      <c r="B264" s="7" t="str">
        <f>CONCATENATE("CNSARG",TEXT(consArgamassa[[#This Row],[Ordem]],"00000"))</f>
        <v>CNSARG00438</v>
      </c>
      <c r="C264" s="7">
        <v>438</v>
      </c>
      <c r="D264" s="10">
        <f>VLOOKUP(consArgamassa[[#This Row],[RecebID]],recebArgamassa[[RecebID]:[Insumo]],3,FALSE)</f>
        <v>45077.125</v>
      </c>
      <c r="E264" s="7" t="str">
        <f>VLOOKUP(consArgamassa[[#This Row],[RecebID]],recebArgamassa[[RecebID]:[Insumo]],4,FALSE)</f>
        <v>Argamassa Estabilizada</v>
      </c>
      <c r="F264" s="1" t="s">
        <v>250</v>
      </c>
      <c r="G264" s="1" t="s">
        <v>256</v>
      </c>
      <c r="H264" s="1">
        <v>4</v>
      </c>
      <c r="I264" s="1" t="s">
        <v>10</v>
      </c>
      <c r="K264" s="2">
        <v>1</v>
      </c>
      <c r="L264" s="23">
        <f>IFERROR(VLOOKUP(consArgamassa[[#This Row],[Serviço]],Tabela4[],5,FALSE),"")</f>
        <v>0</v>
      </c>
      <c r="M264" s="22">
        <f>VLOOKUP(consArgamassa[[#This Row],[RecebID]],recebArgamassa[],14,FALSE)</f>
        <v>464.75</v>
      </c>
      <c r="N264" s="22">
        <f>IFERROR(VLOOKUP(consArgamassa[[#This Row],[Serviço]],Tabela4[],6,FALSE),"")</f>
        <v>500</v>
      </c>
      <c r="O264" s="1" t="s">
        <v>274</v>
      </c>
      <c r="P264" s="13">
        <v>36892</v>
      </c>
    </row>
    <row r="265" spans="1:16" x14ac:dyDescent="0.25">
      <c r="A265" s="1" t="s">
        <v>235</v>
      </c>
      <c r="B265" s="7" t="str">
        <f>CONCATENATE("CNSARG",TEXT(consArgamassa[[#This Row],[Ordem]],"00000"))</f>
        <v>CNSARG00439</v>
      </c>
      <c r="C265" s="7">
        <v>439</v>
      </c>
      <c r="D265" s="10">
        <f>VLOOKUP(consArgamassa[[#This Row],[RecebID]],recebArgamassa[[RecebID]:[Insumo]],3,FALSE)</f>
        <v>45082.125</v>
      </c>
      <c r="E265" s="7" t="str">
        <f>VLOOKUP(consArgamassa[[#This Row],[RecebID]],recebArgamassa[[RecebID]:[Insumo]],4,FALSE)</f>
        <v>Argamassa Estabilizada</v>
      </c>
      <c r="F265" s="1" t="s">
        <v>239</v>
      </c>
      <c r="G265" s="1" t="s">
        <v>270</v>
      </c>
      <c r="H265" s="1" t="s">
        <v>297</v>
      </c>
      <c r="I265" s="1" t="s">
        <v>10</v>
      </c>
      <c r="J265" s="1" t="s">
        <v>239</v>
      </c>
      <c r="K265" s="2">
        <v>1</v>
      </c>
      <c r="L265" s="23">
        <f>IFERROR(VLOOKUP(consArgamassa[[#This Row],[Serviço]],Tabela4[],5,FALSE),"")</f>
        <v>0</v>
      </c>
      <c r="M265" s="22">
        <f>VLOOKUP(consArgamassa[[#This Row],[RecebID]],recebArgamassa[],14,FALSE)</f>
        <v>464.75</v>
      </c>
      <c r="N265" s="22">
        <f>IFERROR(VLOOKUP(consArgamassa[[#This Row],[Serviço]],Tabela4[],6,FALSE),"")</f>
        <v>500</v>
      </c>
      <c r="O265" s="1" t="s">
        <v>274</v>
      </c>
      <c r="P265" s="13">
        <v>36892</v>
      </c>
    </row>
    <row r="266" spans="1:16" x14ac:dyDescent="0.25">
      <c r="A266" s="1" t="s">
        <v>236</v>
      </c>
      <c r="B266" s="7" t="str">
        <f>CONCATENATE("CNSARG",TEXT(consArgamassa[[#This Row],[Ordem]],"00000"))</f>
        <v>CNSARG00440</v>
      </c>
      <c r="C266" s="7">
        <v>440</v>
      </c>
      <c r="D266" s="10">
        <f>VLOOKUP(consArgamassa[[#This Row],[RecebID]],recebArgamassa[[RecebID]:[Insumo]],3,FALSE)</f>
        <v>45082.125</v>
      </c>
      <c r="E266" s="7" t="str">
        <f>VLOOKUP(consArgamassa[[#This Row],[RecebID]],recebArgamassa[[RecebID]:[Insumo]],4,FALSE)</f>
        <v>Argamassa Estabilizada</v>
      </c>
      <c r="F266" s="1" t="s">
        <v>248</v>
      </c>
      <c r="G266" s="1" t="s">
        <v>256</v>
      </c>
      <c r="H266" s="1">
        <v>2</v>
      </c>
      <c r="I266" s="1" t="s">
        <v>238</v>
      </c>
      <c r="J266" s="1" t="s">
        <v>238</v>
      </c>
      <c r="K266" s="2">
        <v>2</v>
      </c>
      <c r="L266" s="23">
        <f>IFERROR(VLOOKUP(consArgamassa[[#This Row],[Serviço]],Tabela4[],5,FALSE),"")</f>
        <v>1.98</v>
      </c>
      <c r="M266" s="22">
        <f>VLOOKUP(consArgamassa[[#This Row],[RecebID]],recebArgamassa[],14,FALSE)</f>
        <v>464.75</v>
      </c>
      <c r="N266" s="22">
        <f>IFERROR(VLOOKUP(consArgamassa[[#This Row],[Serviço]],Tabela4[],6,FALSE),"")</f>
        <v>500</v>
      </c>
      <c r="O266" s="1" t="s">
        <v>274</v>
      </c>
      <c r="P266" s="13">
        <v>36892</v>
      </c>
    </row>
    <row r="267" spans="1:16" x14ac:dyDescent="0.25">
      <c r="A267" s="1" t="s">
        <v>185</v>
      </c>
      <c r="B267" s="7" t="str">
        <f>CONCATENATE("CNSARG",TEXT(consArgamassa[[#This Row],[Ordem]],"00000"))</f>
        <v>CNSARG00608</v>
      </c>
      <c r="C267" s="7">
        <v>608</v>
      </c>
      <c r="D267" s="10">
        <f>VLOOKUP(consArgamassa[[#This Row],[RecebID]],recebArgamassa[[RecebID]:[Insumo]],3,FALSE)</f>
        <v>44998.125</v>
      </c>
      <c r="E267" s="7" t="str">
        <f>VLOOKUP(consArgamassa[[#This Row],[RecebID]],recebArgamassa[[RecebID]:[Insumo]],4,FALSE)</f>
        <v>Argamassa Estabilizada</v>
      </c>
      <c r="F267" s="1" t="s">
        <v>264</v>
      </c>
      <c r="G267" s="1" t="s">
        <v>255</v>
      </c>
      <c r="H267" s="1">
        <v>3</v>
      </c>
      <c r="I267" s="1" t="s">
        <v>8</v>
      </c>
      <c r="K267" s="2">
        <v>3.5</v>
      </c>
      <c r="L267" s="23">
        <f>IFERROR(VLOOKUP(consArgamassa[[#This Row],[Serviço]],Tabela4[],5,FALSE),"")</f>
        <v>1.3352499999999998</v>
      </c>
      <c r="M267" s="22">
        <f>VLOOKUP(consArgamassa[[#This Row],[RecebID]],recebArgamassa[],14,FALSE)</f>
        <v>464.75</v>
      </c>
      <c r="N267" s="22">
        <f>IFERROR(VLOOKUP(consArgamassa[[#This Row],[Serviço]],Tabela4[],6,FALSE),"")</f>
        <v>500</v>
      </c>
      <c r="O267" s="1" t="s">
        <v>274</v>
      </c>
      <c r="P267" s="13">
        <v>36892</v>
      </c>
    </row>
    <row r="268" spans="1:16" x14ac:dyDescent="0.25">
      <c r="A268" s="1" t="s">
        <v>186</v>
      </c>
      <c r="B268" s="7" t="str">
        <f>CONCATENATE("CNSARG",TEXT(consArgamassa[[#This Row],[Ordem]],"00000"))</f>
        <v>CNSARG00609</v>
      </c>
      <c r="C268" s="7">
        <v>609</v>
      </c>
      <c r="D268" s="10">
        <f>VLOOKUP(consArgamassa[[#This Row],[RecebID]],recebArgamassa[[RecebID]:[Insumo]],3,FALSE)</f>
        <v>44999.125</v>
      </c>
      <c r="E268" s="7" t="str">
        <f>VLOOKUP(consArgamassa[[#This Row],[RecebID]],recebArgamassa[[RecebID]:[Insumo]],4,FALSE)</f>
        <v>Argamassa Estabilizada</v>
      </c>
      <c r="F268" s="1" t="s">
        <v>264</v>
      </c>
      <c r="G268" s="1" t="s">
        <v>255</v>
      </c>
      <c r="H268" s="1">
        <v>5</v>
      </c>
      <c r="I268" s="1" t="s">
        <v>9</v>
      </c>
      <c r="K268" s="2">
        <v>0.5</v>
      </c>
      <c r="L268" s="23">
        <f>IFERROR(VLOOKUP(consArgamassa[[#This Row],[Serviço]],Tabela4[],5,FALSE),"")</f>
        <v>1.3352499999999998</v>
      </c>
      <c r="M268" s="22">
        <f>VLOOKUP(consArgamassa[[#This Row],[RecebID]],recebArgamassa[],14,FALSE)</f>
        <v>464.75</v>
      </c>
      <c r="N268" s="22">
        <f>IFERROR(VLOOKUP(consArgamassa[[#This Row],[Serviço]],Tabela4[],6,FALSE),"")</f>
        <v>500</v>
      </c>
      <c r="O268" s="1" t="s">
        <v>274</v>
      </c>
      <c r="P268" s="13">
        <v>36892</v>
      </c>
    </row>
    <row r="269" spans="1:16" x14ac:dyDescent="0.25">
      <c r="A269" s="1" t="s">
        <v>187</v>
      </c>
      <c r="B269" s="7" t="str">
        <f>CONCATENATE("CNSARG",TEXT(consArgamassa[[#This Row],[Ordem]],"00000"))</f>
        <v>CNSARG00610</v>
      </c>
      <c r="C269" s="7">
        <v>610</v>
      </c>
      <c r="D269" s="10">
        <f>VLOOKUP(consArgamassa[[#This Row],[RecebID]],recebArgamassa[[RecebID]:[Insumo]],3,FALSE)</f>
        <v>45000.125</v>
      </c>
      <c r="E269" s="7" t="str">
        <f>VLOOKUP(consArgamassa[[#This Row],[RecebID]],recebArgamassa[[RecebID]:[Insumo]],4,FALSE)</f>
        <v>Argamassa Estabilizada</v>
      </c>
      <c r="F269" s="1" t="s">
        <v>247</v>
      </c>
      <c r="G269" s="1" t="s">
        <v>256</v>
      </c>
      <c r="H269" s="1">
        <v>9</v>
      </c>
      <c r="I269" s="1" t="s">
        <v>9</v>
      </c>
      <c r="K269" s="2">
        <v>0.5</v>
      </c>
      <c r="L269" s="23">
        <f>IFERROR(VLOOKUP(consArgamassa[[#This Row],[Serviço]],Tabela4[],5,FALSE),"")</f>
        <v>0</v>
      </c>
      <c r="M269" s="22">
        <f>VLOOKUP(consArgamassa[[#This Row],[RecebID]],recebArgamassa[],14,FALSE)</f>
        <v>464.75</v>
      </c>
      <c r="N269" s="22">
        <f>IFERROR(VLOOKUP(consArgamassa[[#This Row],[Serviço]],Tabela4[],6,FALSE),"")</f>
        <v>500</v>
      </c>
      <c r="O269" s="1" t="s">
        <v>274</v>
      </c>
      <c r="P269" s="13">
        <v>36892</v>
      </c>
    </row>
    <row r="270" spans="1:16" x14ac:dyDescent="0.25">
      <c r="A270" s="1" t="s">
        <v>189</v>
      </c>
      <c r="B270" s="7" t="str">
        <f>CONCATENATE("CNSARG",TEXT(consArgamassa[[#This Row],[Ordem]],"00000"))</f>
        <v>CNSARG00612</v>
      </c>
      <c r="C270" s="7">
        <v>612</v>
      </c>
      <c r="D270" s="10">
        <f>VLOOKUP(consArgamassa[[#This Row],[RecebID]],recebArgamassa[[RecebID]:[Insumo]],3,FALSE)</f>
        <v>45002.125</v>
      </c>
      <c r="E270" s="7" t="str">
        <f>VLOOKUP(consArgamassa[[#This Row],[RecebID]],recebArgamassa[[RecebID]:[Insumo]],4,FALSE)</f>
        <v>Argamassa Estabilizada</v>
      </c>
      <c r="F270" s="1" t="s">
        <v>239</v>
      </c>
      <c r="G270" s="1" t="s">
        <v>270</v>
      </c>
      <c r="H270" s="1" t="s">
        <v>297</v>
      </c>
      <c r="I270" s="1" t="s">
        <v>10</v>
      </c>
      <c r="J270" s="1" t="s">
        <v>239</v>
      </c>
      <c r="K270" s="2">
        <v>1</v>
      </c>
      <c r="L270" s="23">
        <f>IFERROR(VLOOKUP(consArgamassa[[#This Row],[Serviço]],Tabela4[],5,FALSE),"")</f>
        <v>0</v>
      </c>
      <c r="M270" s="22">
        <f>VLOOKUP(consArgamassa[[#This Row],[RecebID]],recebArgamassa[],14,FALSE)</f>
        <v>464.75</v>
      </c>
      <c r="N270" s="22">
        <f>IFERROR(VLOOKUP(consArgamassa[[#This Row],[Serviço]],Tabela4[],6,FALSE),"")</f>
        <v>500</v>
      </c>
      <c r="O270" s="1" t="s">
        <v>274</v>
      </c>
      <c r="P270" s="13">
        <v>36892</v>
      </c>
    </row>
    <row r="271" spans="1:16" x14ac:dyDescent="0.25">
      <c r="A271" s="1" t="s">
        <v>190</v>
      </c>
      <c r="B271" s="7" t="str">
        <f>CONCATENATE("CNSARG",TEXT(consArgamassa[[#This Row],[Ordem]],"00000"))</f>
        <v>CNSARG00613</v>
      </c>
      <c r="C271" s="7">
        <v>613</v>
      </c>
      <c r="D271" s="10">
        <f>VLOOKUP(consArgamassa[[#This Row],[RecebID]],recebArgamassa[[RecebID]:[Insumo]],3,FALSE)</f>
        <v>45005.125</v>
      </c>
      <c r="E271" s="7" t="str">
        <f>VLOOKUP(consArgamassa[[#This Row],[RecebID]],recebArgamassa[[RecebID]:[Insumo]],4,FALSE)</f>
        <v>Argamassa Estabilizada</v>
      </c>
      <c r="F271" s="1" t="s">
        <v>248</v>
      </c>
      <c r="G271" s="1" t="s">
        <v>255</v>
      </c>
      <c r="H271" s="1">
        <v>5</v>
      </c>
      <c r="I271" s="1" t="s">
        <v>238</v>
      </c>
      <c r="J271" s="1" t="s">
        <v>238</v>
      </c>
      <c r="K271" s="2">
        <v>0.5</v>
      </c>
      <c r="L271" s="23">
        <f>IFERROR(VLOOKUP(consArgamassa[[#This Row],[Serviço]],Tabela4[],5,FALSE),"")</f>
        <v>1.98</v>
      </c>
      <c r="M271" s="22">
        <f>VLOOKUP(consArgamassa[[#This Row],[RecebID]],recebArgamassa[],14,FALSE)</f>
        <v>464.75</v>
      </c>
      <c r="N271" s="22">
        <f>IFERROR(VLOOKUP(consArgamassa[[#This Row],[Serviço]],Tabela4[],6,FALSE),"")</f>
        <v>500</v>
      </c>
      <c r="O271" s="1" t="s">
        <v>274</v>
      </c>
      <c r="P271" s="13">
        <v>36892</v>
      </c>
    </row>
    <row r="272" spans="1:16" x14ac:dyDescent="0.25">
      <c r="A272" s="1" t="s">
        <v>191</v>
      </c>
      <c r="B272" s="7" t="str">
        <f>CONCATENATE("CNSARG",TEXT(consArgamassa[[#This Row],[Ordem]],"00000"))</f>
        <v>CNSARG00614</v>
      </c>
      <c r="C272" s="7">
        <v>614</v>
      </c>
      <c r="D272" s="10">
        <f>VLOOKUP(consArgamassa[[#This Row],[RecebID]],recebArgamassa[[RecebID]:[Insumo]],3,FALSE)</f>
        <v>45006.125</v>
      </c>
      <c r="E272" s="7" t="str">
        <f>VLOOKUP(consArgamassa[[#This Row],[RecebID]],recebArgamassa[[RecebID]:[Insumo]],4,FALSE)</f>
        <v>Argamassa Estabilizada</v>
      </c>
      <c r="F272" s="1" t="s">
        <v>248</v>
      </c>
      <c r="G272" s="1" t="s">
        <v>255</v>
      </c>
      <c r="H272" s="1">
        <v>4</v>
      </c>
      <c r="I272" s="1" t="s">
        <v>238</v>
      </c>
      <c r="J272" s="1" t="s">
        <v>238</v>
      </c>
      <c r="K272" s="2">
        <v>0.5</v>
      </c>
      <c r="L272" s="23">
        <f>IFERROR(VLOOKUP(consArgamassa[[#This Row],[Serviço]],Tabela4[],5,FALSE),"")</f>
        <v>1.98</v>
      </c>
      <c r="M272" s="22">
        <f>VLOOKUP(consArgamassa[[#This Row],[RecebID]],recebArgamassa[],14,FALSE)</f>
        <v>464.75</v>
      </c>
      <c r="N272" s="22">
        <f>IFERROR(VLOOKUP(consArgamassa[[#This Row],[Serviço]],Tabela4[],6,FALSE),"")</f>
        <v>500</v>
      </c>
      <c r="O272" s="1" t="s">
        <v>274</v>
      </c>
      <c r="P272" s="13">
        <v>36892</v>
      </c>
    </row>
    <row r="273" spans="1:16" x14ac:dyDescent="0.25">
      <c r="A273" s="1" t="s">
        <v>192</v>
      </c>
      <c r="B273" s="7" t="str">
        <f>CONCATENATE("CNSARG",TEXT(consArgamassa[[#This Row],[Ordem]],"00000"))</f>
        <v>CNSARG00615</v>
      </c>
      <c r="C273" s="7">
        <v>615</v>
      </c>
      <c r="D273" s="10">
        <f>VLOOKUP(consArgamassa[[#This Row],[RecebID]],recebArgamassa[[RecebID]:[Insumo]],3,FALSE)</f>
        <v>45007.125</v>
      </c>
      <c r="E273" s="7" t="str">
        <f>VLOOKUP(consArgamassa[[#This Row],[RecebID]],recebArgamassa[[RecebID]:[Insumo]],4,FALSE)</f>
        <v>Argamassa Estabilizada</v>
      </c>
      <c r="F273" s="1" t="s">
        <v>248</v>
      </c>
      <c r="G273" s="1" t="s">
        <v>255</v>
      </c>
      <c r="H273" s="1">
        <v>6</v>
      </c>
      <c r="I273" s="1" t="s">
        <v>238</v>
      </c>
      <c r="J273" s="1" t="s">
        <v>238</v>
      </c>
      <c r="K273" s="2">
        <v>0.5</v>
      </c>
      <c r="L273" s="23">
        <f>IFERROR(VLOOKUP(consArgamassa[[#This Row],[Serviço]],Tabela4[],5,FALSE),"")</f>
        <v>1.98</v>
      </c>
      <c r="M273" s="22">
        <f>VLOOKUP(consArgamassa[[#This Row],[RecebID]],recebArgamassa[],14,FALSE)</f>
        <v>464.75</v>
      </c>
      <c r="N273" s="22">
        <f>IFERROR(VLOOKUP(consArgamassa[[#This Row],[Serviço]],Tabela4[],6,FALSE),"")</f>
        <v>500</v>
      </c>
      <c r="O273" s="1" t="s">
        <v>274</v>
      </c>
      <c r="P273" s="13">
        <v>36892</v>
      </c>
    </row>
    <row r="274" spans="1:16" x14ac:dyDescent="0.25">
      <c r="A274" s="1" t="s">
        <v>193</v>
      </c>
      <c r="B274" s="7" t="str">
        <f>CONCATENATE("CNSARG",TEXT(consArgamassa[[#This Row],[Ordem]],"00000"))</f>
        <v>CNSARG00616</v>
      </c>
      <c r="C274" s="7">
        <v>616</v>
      </c>
      <c r="D274" s="10">
        <f>VLOOKUP(consArgamassa[[#This Row],[RecebID]],recebArgamassa[[RecebID]:[Insumo]],3,FALSE)</f>
        <v>45008.125</v>
      </c>
      <c r="E274" s="7" t="str">
        <f>VLOOKUP(consArgamassa[[#This Row],[RecebID]],recebArgamassa[[RecebID]:[Insumo]],4,FALSE)</f>
        <v>Argamassa Estabilizada</v>
      </c>
      <c r="F274" s="1" t="s">
        <v>264</v>
      </c>
      <c r="G274" s="1" t="s">
        <v>255</v>
      </c>
      <c r="H274" s="1">
        <v>10</v>
      </c>
      <c r="I274" s="1" t="s">
        <v>9</v>
      </c>
      <c r="K274" s="2">
        <v>1</v>
      </c>
      <c r="L274" s="23">
        <f>IFERROR(VLOOKUP(consArgamassa[[#This Row],[Serviço]],Tabela4[],5,FALSE),"")</f>
        <v>1.3352499999999998</v>
      </c>
      <c r="M274" s="22">
        <f>VLOOKUP(consArgamassa[[#This Row],[RecebID]],recebArgamassa[],14,FALSE)</f>
        <v>464.75</v>
      </c>
      <c r="N274" s="22">
        <f>IFERROR(VLOOKUP(consArgamassa[[#This Row],[Serviço]],Tabela4[],6,FALSE),"")</f>
        <v>500</v>
      </c>
      <c r="O274" s="1" t="s">
        <v>274</v>
      </c>
      <c r="P274" s="13">
        <v>36892</v>
      </c>
    </row>
    <row r="275" spans="1:16" x14ac:dyDescent="0.25">
      <c r="A275" s="1" t="s">
        <v>195</v>
      </c>
      <c r="B275" s="7" t="str">
        <f>CONCATENATE("CNSARG",TEXT(consArgamassa[[#This Row],[Ordem]],"00000"))</f>
        <v>CNSARG00618</v>
      </c>
      <c r="C275" s="7">
        <v>618</v>
      </c>
      <c r="D275" s="10">
        <f>VLOOKUP(consArgamassa[[#This Row],[RecebID]],recebArgamassa[[RecebID]:[Insumo]],3,FALSE)</f>
        <v>45012.125</v>
      </c>
      <c r="E275" s="7" t="str">
        <f>VLOOKUP(consArgamassa[[#This Row],[RecebID]],recebArgamassa[[RecebID]:[Insumo]],4,FALSE)</f>
        <v>Argamassa Estabilizada</v>
      </c>
      <c r="F275" s="1" t="s">
        <v>250</v>
      </c>
      <c r="G275" s="1" t="s">
        <v>270</v>
      </c>
      <c r="H275" s="1" t="s">
        <v>297</v>
      </c>
      <c r="I275" s="1" t="s">
        <v>10</v>
      </c>
      <c r="J275" s="1" t="s">
        <v>246</v>
      </c>
      <c r="K275" s="2">
        <v>1</v>
      </c>
      <c r="L275" s="23">
        <f>IFERROR(VLOOKUP(consArgamassa[[#This Row],[Serviço]],Tabela4[],5,FALSE),"")</f>
        <v>0</v>
      </c>
      <c r="M275" s="22">
        <f>VLOOKUP(consArgamassa[[#This Row],[RecebID]],recebArgamassa[],14,FALSE)</f>
        <v>464.75</v>
      </c>
      <c r="N275" s="22">
        <f>IFERROR(VLOOKUP(consArgamassa[[#This Row],[Serviço]],Tabela4[],6,FALSE),"")</f>
        <v>500</v>
      </c>
      <c r="O275" s="1" t="s">
        <v>274</v>
      </c>
      <c r="P275" s="13">
        <v>36892</v>
      </c>
    </row>
    <row r="276" spans="1:16" x14ac:dyDescent="0.25">
      <c r="A276" s="1" t="s">
        <v>196</v>
      </c>
      <c r="B276" s="7" t="str">
        <f>CONCATENATE("CNSARG",TEXT(consArgamassa[[#This Row],[Ordem]],"00000"))</f>
        <v>CNSARG00619</v>
      </c>
      <c r="C276" s="7">
        <v>619</v>
      </c>
      <c r="D276" s="10">
        <f>VLOOKUP(consArgamassa[[#This Row],[RecebID]],recebArgamassa[[RecebID]:[Insumo]],3,FALSE)</f>
        <v>44197</v>
      </c>
      <c r="E276" s="7" t="str">
        <f>VLOOKUP(consArgamassa[[#This Row],[RecebID]],recebArgamassa[[RecebID]:[Insumo]],4,FALSE)</f>
        <v>Argamassa Estabilizada</v>
      </c>
      <c r="F276" s="1" t="s">
        <v>264</v>
      </c>
      <c r="G276" s="1" t="s">
        <v>256</v>
      </c>
      <c r="H276" s="1">
        <v>3</v>
      </c>
      <c r="I276" s="1" t="s">
        <v>7</v>
      </c>
      <c r="K276" s="2">
        <v>2</v>
      </c>
      <c r="L276" s="23">
        <f>IFERROR(VLOOKUP(consArgamassa[[#This Row],[Serviço]],Tabela4[],5,FALSE),"")</f>
        <v>1.3352499999999998</v>
      </c>
      <c r="M276" s="22">
        <f>VLOOKUP(consArgamassa[[#This Row],[RecebID]],recebArgamassa[],14,FALSE)</f>
        <v>464.75</v>
      </c>
      <c r="N276" s="22">
        <f>IFERROR(VLOOKUP(consArgamassa[[#This Row],[Serviço]],Tabela4[],6,FALSE),"")</f>
        <v>500</v>
      </c>
      <c r="O276" s="1" t="s">
        <v>274</v>
      </c>
      <c r="P276" s="13">
        <v>36892</v>
      </c>
    </row>
    <row r="277" spans="1:16" x14ac:dyDescent="0.25">
      <c r="A277" s="1" t="s">
        <v>197</v>
      </c>
      <c r="B277" s="7" t="str">
        <f>CONCATENATE("CNSARG",TEXT(consArgamassa[[#This Row],[Ordem]],"00000"))</f>
        <v>CNSARG00620</v>
      </c>
      <c r="C277" s="7">
        <v>620</v>
      </c>
      <c r="D277" s="10">
        <f>VLOOKUP(consArgamassa[[#This Row],[RecebID]],recebArgamassa[[RecebID]:[Insumo]],3,FALSE)</f>
        <v>45013.125</v>
      </c>
      <c r="E277" s="7" t="str">
        <f>VLOOKUP(consArgamassa[[#This Row],[RecebID]],recebArgamassa[[RecebID]:[Insumo]],4,FALSE)</f>
        <v>Argamassa Estabilizada</v>
      </c>
      <c r="F277" s="1" t="s">
        <v>264</v>
      </c>
      <c r="G277" s="1" t="s">
        <v>256</v>
      </c>
      <c r="H277" s="1">
        <v>3</v>
      </c>
      <c r="I277" s="1" t="s">
        <v>7</v>
      </c>
      <c r="K277" s="2">
        <v>2</v>
      </c>
      <c r="L277" s="23">
        <f>IFERROR(VLOOKUP(consArgamassa[[#This Row],[Serviço]],Tabela4[],5,FALSE),"")</f>
        <v>1.3352499999999998</v>
      </c>
      <c r="M277" s="22">
        <f>VLOOKUP(consArgamassa[[#This Row],[RecebID]],recebArgamassa[],14,FALSE)</f>
        <v>464.75</v>
      </c>
      <c r="N277" s="22">
        <f>IFERROR(VLOOKUP(consArgamassa[[#This Row],[Serviço]],Tabela4[],6,FALSE),"")</f>
        <v>500</v>
      </c>
      <c r="O277" s="1" t="s">
        <v>274</v>
      </c>
      <c r="P277" s="13">
        <v>36892</v>
      </c>
    </row>
    <row r="278" spans="1:16" x14ac:dyDescent="0.25">
      <c r="A278" s="1" t="s">
        <v>198</v>
      </c>
      <c r="B278" s="7" t="str">
        <f>CONCATENATE("CNSARG",TEXT(consArgamassa[[#This Row],[Ordem]],"00000"))</f>
        <v>CNSARG00622</v>
      </c>
      <c r="C278" s="7">
        <v>622</v>
      </c>
      <c r="D278" s="10">
        <f>VLOOKUP(consArgamassa[[#This Row],[RecebID]],recebArgamassa[[RecebID]:[Insumo]],3,FALSE)</f>
        <v>45014.125</v>
      </c>
      <c r="E278" s="7" t="str">
        <f>VLOOKUP(consArgamassa[[#This Row],[RecebID]],recebArgamassa[[RecebID]:[Insumo]],4,FALSE)</f>
        <v>Argamassa Estabilizada</v>
      </c>
      <c r="F278" s="1" t="s">
        <v>250</v>
      </c>
      <c r="G278" s="1" t="s">
        <v>270</v>
      </c>
      <c r="H278" s="1" t="s">
        <v>297</v>
      </c>
      <c r="I278" s="1" t="s">
        <v>10</v>
      </c>
      <c r="J278" s="1" t="s">
        <v>246</v>
      </c>
      <c r="K278" s="2">
        <v>1</v>
      </c>
      <c r="L278" s="23">
        <f>IFERROR(VLOOKUP(consArgamassa[[#This Row],[Serviço]],Tabela4[],5,FALSE),"")</f>
        <v>0</v>
      </c>
      <c r="M278" s="22">
        <f>VLOOKUP(consArgamassa[[#This Row],[RecebID]],recebArgamassa[],14,FALSE)</f>
        <v>464.75</v>
      </c>
      <c r="N278" s="22">
        <f>IFERROR(VLOOKUP(consArgamassa[[#This Row],[Serviço]],Tabela4[],6,FALSE),"")</f>
        <v>500</v>
      </c>
      <c r="O278" s="1" t="s">
        <v>274</v>
      </c>
      <c r="P278" s="13">
        <v>36892</v>
      </c>
    </row>
    <row r="279" spans="1:16" x14ac:dyDescent="0.25">
      <c r="A279" s="1" t="s">
        <v>199</v>
      </c>
      <c r="B279" s="7" t="str">
        <f>CONCATENATE("CNSARG",TEXT(consArgamassa[[#This Row],[Ordem]],"00000"))</f>
        <v>CNSARG00623</v>
      </c>
      <c r="C279" s="7">
        <v>623</v>
      </c>
      <c r="D279" s="10">
        <f>VLOOKUP(consArgamassa[[#This Row],[RecebID]],recebArgamassa[[RecebID]:[Insumo]],3,FALSE)</f>
        <v>45015.125</v>
      </c>
      <c r="E279" s="7" t="str">
        <f>VLOOKUP(consArgamassa[[#This Row],[RecebID]],recebArgamassa[[RecebID]:[Insumo]],4,FALSE)</f>
        <v>Argamassa Estabilizada</v>
      </c>
      <c r="F279" s="1" t="s">
        <v>250</v>
      </c>
      <c r="G279" s="1" t="s">
        <v>270</v>
      </c>
      <c r="H279" s="1" t="s">
        <v>297</v>
      </c>
      <c r="I279" s="1" t="s">
        <v>10</v>
      </c>
      <c r="J279" s="1" t="s">
        <v>246</v>
      </c>
      <c r="K279" s="2">
        <v>1</v>
      </c>
      <c r="L279" s="23">
        <f>IFERROR(VLOOKUP(consArgamassa[[#This Row],[Serviço]],Tabela4[],5,FALSE),"")</f>
        <v>0</v>
      </c>
      <c r="M279" s="22">
        <f>VLOOKUP(consArgamassa[[#This Row],[RecebID]],recebArgamassa[],14,FALSE)</f>
        <v>464.75</v>
      </c>
      <c r="N279" s="22">
        <f>IFERROR(VLOOKUP(consArgamassa[[#This Row],[Serviço]],Tabela4[],6,FALSE),"")</f>
        <v>500</v>
      </c>
      <c r="O279" s="1" t="s">
        <v>274</v>
      </c>
      <c r="P279" s="13">
        <v>36892</v>
      </c>
    </row>
    <row r="280" spans="1:16" x14ac:dyDescent="0.25">
      <c r="A280" s="1" t="s">
        <v>200</v>
      </c>
      <c r="B280" s="7" t="str">
        <f>CONCATENATE("CNSARG",TEXT(consArgamassa[[#This Row],[Ordem]],"00000"))</f>
        <v>CNSARG00624</v>
      </c>
      <c r="C280" s="7">
        <v>624</v>
      </c>
      <c r="D280" s="10">
        <f>VLOOKUP(consArgamassa[[#This Row],[RecebID]],recebArgamassa[[RecebID]:[Insumo]],3,FALSE)</f>
        <v>45016.125</v>
      </c>
      <c r="E280" s="7" t="str">
        <f>VLOOKUP(consArgamassa[[#This Row],[RecebID]],recebArgamassa[[RecebID]:[Insumo]],4,FALSE)</f>
        <v>Argamassa Estabilizada</v>
      </c>
      <c r="F280" s="1" t="s">
        <v>247</v>
      </c>
      <c r="G280" s="1" t="s">
        <v>255</v>
      </c>
      <c r="H280" s="1">
        <v>7</v>
      </c>
      <c r="I280" s="1" t="s">
        <v>9</v>
      </c>
      <c r="K280" s="2">
        <v>1</v>
      </c>
      <c r="L280" s="23">
        <f>IFERROR(VLOOKUP(consArgamassa[[#This Row],[Serviço]],Tabela4[],5,FALSE),"")</f>
        <v>0</v>
      </c>
      <c r="M280" s="22">
        <f>VLOOKUP(consArgamassa[[#This Row],[RecebID]],recebArgamassa[],14,FALSE)</f>
        <v>464.75</v>
      </c>
      <c r="N280" s="22">
        <f>IFERROR(VLOOKUP(consArgamassa[[#This Row],[Serviço]],Tabela4[],6,FALSE),"")</f>
        <v>500</v>
      </c>
      <c r="O280" s="1" t="s">
        <v>274</v>
      </c>
      <c r="P280" s="13">
        <v>36892</v>
      </c>
    </row>
    <row r="281" spans="1:16" x14ac:dyDescent="0.25">
      <c r="A281" s="1" t="s">
        <v>201</v>
      </c>
      <c r="B281" s="7" t="str">
        <f>CONCATENATE("CNSARG",TEXT(consArgamassa[[#This Row],[Ordem]],"00000"))</f>
        <v>CNSARG00625</v>
      </c>
      <c r="C281" s="7">
        <v>625</v>
      </c>
      <c r="D281" s="10">
        <f>VLOOKUP(consArgamassa[[#This Row],[RecebID]],recebArgamassa[[RecebID]:[Insumo]],3,FALSE)</f>
        <v>45019.125</v>
      </c>
      <c r="E281" s="7" t="str">
        <f>VLOOKUP(consArgamassa[[#This Row],[RecebID]],recebArgamassa[[RecebID]:[Insumo]],4,FALSE)</f>
        <v>Argamassa Estabilizada</v>
      </c>
      <c r="F281" s="1" t="s">
        <v>250</v>
      </c>
      <c r="G281" s="1" t="s">
        <v>270</v>
      </c>
      <c r="H281" s="1" t="s">
        <v>296</v>
      </c>
      <c r="I281" s="1" t="s">
        <v>10</v>
      </c>
      <c r="J281" s="1" t="s">
        <v>243</v>
      </c>
      <c r="K281" s="2">
        <v>1.5</v>
      </c>
      <c r="L281" s="23">
        <f>IFERROR(VLOOKUP(consArgamassa[[#This Row],[Serviço]],Tabela4[],5,FALSE),"")</f>
        <v>0</v>
      </c>
      <c r="M281" s="22">
        <f>VLOOKUP(consArgamassa[[#This Row],[RecebID]],recebArgamassa[],14,FALSE)</f>
        <v>464.75</v>
      </c>
      <c r="N281" s="22">
        <f>IFERROR(VLOOKUP(consArgamassa[[#This Row],[Serviço]],Tabela4[],6,FALSE),"")</f>
        <v>500</v>
      </c>
      <c r="O281" s="1" t="s">
        <v>274</v>
      </c>
      <c r="P281" s="13">
        <v>36892</v>
      </c>
    </row>
    <row r="282" spans="1:16" x14ac:dyDescent="0.25">
      <c r="A282" s="1" t="s">
        <v>202</v>
      </c>
      <c r="B282" s="7" t="str">
        <f>CONCATENATE("CNSARG",TEXT(consArgamassa[[#This Row],[Ordem]],"00000"))</f>
        <v>CNSARG00626</v>
      </c>
      <c r="C282" s="7">
        <v>626</v>
      </c>
      <c r="D282" s="10">
        <f>VLOOKUP(consArgamassa[[#This Row],[RecebID]],recebArgamassa[[RecebID]:[Insumo]],3,FALSE)</f>
        <v>45020.125</v>
      </c>
      <c r="E282" s="7" t="str">
        <f>VLOOKUP(consArgamassa[[#This Row],[RecebID]],recebArgamassa[[RecebID]:[Insumo]],4,FALSE)</f>
        <v>Argamassa Estabilizada</v>
      </c>
      <c r="F282" s="1" t="s">
        <v>250</v>
      </c>
      <c r="G282" s="1" t="s">
        <v>270</v>
      </c>
      <c r="H282" s="1" t="s">
        <v>296</v>
      </c>
      <c r="I282" s="1" t="s">
        <v>10</v>
      </c>
      <c r="J282" s="1" t="s">
        <v>243</v>
      </c>
      <c r="K282" s="2">
        <v>1</v>
      </c>
      <c r="L282" s="23">
        <f>IFERROR(VLOOKUP(consArgamassa[[#This Row],[Serviço]],Tabela4[],5,FALSE),"")</f>
        <v>0</v>
      </c>
      <c r="M282" s="22">
        <f>VLOOKUP(consArgamassa[[#This Row],[RecebID]],recebArgamassa[],14,FALSE)</f>
        <v>464.75</v>
      </c>
      <c r="N282" s="22">
        <f>IFERROR(VLOOKUP(consArgamassa[[#This Row],[Serviço]],Tabela4[],6,FALSE),"")</f>
        <v>500</v>
      </c>
      <c r="O282" s="1" t="s">
        <v>274</v>
      </c>
      <c r="P282" s="13">
        <v>36892</v>
      </c>
    </row>
    <row r="283" spans="1:16" x14ac:dyDescent="0.25">
      <c r="A283" s="1" t="s">
        <v>203</v>
      </c>
      <c r="B283" s="7" t="str">
        <f>CONCATENATE("CNSARG",TEXT(consArgamassa[[#This Row],[Ordem]],"00000"))</f>
        <v>CNSARG00627</v>
      </c>
      <c r="C283" s="7">
        <v>627</v>
      </c>
      <c r="D283" s="10">
        <f>VLOOKUP(consArgamassa[[#This Row],[RecebID]],recebArgamassa[[RecebID]:[Insumo]],3,FALSE)</f>
        <v>45021.125</v>
      </c>
      <c r="E283" s="7" t="str">
        <f>VLOOKUP(consArgamassa[[#This Row],[RecebID]],recebArgamassa[[RecebID]:[Insumo]],4,FALSE)</f>
        <v>Argamassa Estabilizada</v>
      </c>
      <c r="F283" s="1" t="s">
        <v>239</v>
      </c>
      <c r="G283" s="1" t="s">
        <v>270</v>
      </c>
      <c r="H283" s="1" t="s">
        <v>297</v>
      </c>
      <c r="I283" s="1" t="s">
        <v>10</v>
      </c>
      <c r="J283" s="1" t="s">
        <v>239</v>
      </c>
      <c r="K283" s="2">
        <v>0.5</v>
      </c>
      <c r="L283" s="23">
        <f>IFERROR(VLOOKUP(consArgamassa[[#This Row],[Serviço]],Tabela4[],5,FALSE),"")</f>
        <v>0</v>
      </c>
      <c r="M283" s="22">
        <f>VLOOKUP(consArgamassa[[#This Row],[RecebID]],recebArgamassa[],14,FALSE)</f>
        <v>464.75</v>
      </c>
      <c r="N283" s="22">
        <f>IFERROR(VLOOKUP(consArgamassa[[#This Row],[Serviço]],Tabela4[],6,FALSE),"")</f>
        <v>500</v>
      </c>
      <c r="O283" s="1" t="s">
        <v>274</v>
      </c>
      <c r="P283" s="13">
        <v>36892</v>
      </c>
    </row>
    <row r="284" spans="1:16" x14ac:dyDescent="0.25">
      <c r="A284" s="1" t="s">
        <v>204</v>
      </c>
      <c r="B284" s="7" t="str">
        <f>CONCATENATE("CNSARG",TEXT(consArgamassa[[#This Row],[Ordem]],"00000"))</f>
        <v>CNSARG00628</v>
      </c>
      <c r="C284" s="7">
        <v>628</v>
      </c>
      <c r="D284" s="10">
        <f>VLOOKUP(consArgamassa[[#This Row],[RecebID]],recebArgamassa[[RecebID]:[Insumo]],3,FALSE)</f>
        <v>45026.125</v>
      </c>
      <c r="E284" s="7" t="str">
        <f>VLOOKUP(consArgamassa[[#This Row],[RecebID]],recebArgamassa[[RecebID]:[Insumo]],4,FALSE)</f>
        <v>Argamassa Estabilizada</v>
      </c>
      <c r="F284" s="1" t="s">
        <v>250</v>
      </c>
      <c r="G284" s="1" t="s">
        <v>270</v>
      </c>
      <c r="H284" s="1" t="s">
        <v>297</v>
      </c>
      <c r="I284" s="1" t="s">
        <v>10</v>
      </c>
      <c r="J284" s="1" t="s">
        <v>23</v>
      </c>
      <c r="K284" s="2">
        <v>1</v>
      </c>
      <c r="L284" s="23">
        <f>IFERROR(VLOOKUP(consArgamassa[[#This Row],[Serviço]],Tabela4[],5,FALSE),"")</f>
        <v>0</v>
      </c>
      <c r="M284" s="22">
        <f>VLOOKUP(consArgamassa[[#This Row],[RecebID]],recebArgamassa[],14,FALSE)</f>
        <v>464.75</v>
      </c>
      <c r="N284" s="22">
        <f>IFERROR(VLOOKUP(consArgamassa[[#This Row],[Serviço]],Tabela4[],6,FALSE),"")</f>
        <v>500</v>
      </c>
      <c r="O284" s="1" t="s">
        <v>274</v>
      </c>
      <c r="P284" s="13">
        <v>36892</v>
      </c>
    </row>
    <row r="285" spans="1:16" x14ac:dyDescent="0.25">
      <c r="A285" s="1" t="s">
        <v>205</v>
      </c>
      <c r="B285" s="7" t="str">
        <f>CONCATENATE("CNSARG",TEXT(consArgamassa[[#This Row],[Ordem]],"00000"))</f>
        <v>CNSARG00629</v>
      </c>
      <c r="C285" s="7">
        <v>629</v>
      </c>
      <c r="D285" s="10">
        <f>VLOOKUP(consArgamassa[[#This Row],[RecebID]],recebArgamassa[[RecebID]:[Insumo]],3,FALSE)</f>
        <v>45027.125</v>
      </c>
      <c r="E285" s="7" t="str">
        <f>VLOOKUP(consArgamassa[[#This Row],[RecebID]],recebArgamassa[[RecebID]:[Insumo]],4,FALSE)</f>
        <v>Argamassa Estabilizada</v>
      </c>
      <c r="F285" s="1" t="s">
        <v>247</v>
      </c>
      <c r="G285" s="1" t="s">
        <v>256</v>
      </c>
      <c r="H285" s="1">
        <v>6</v>
      </c>
      <c r="I285" s="1" t="s">
        <v>10</v>
      </c>
      <c r="K285" s="2">
        <v>1</v>
      </c>
      <c r="L285" s="23">
        <f>IFERROR(VLOOKUP(consArgamassa[[#This Row],[Serviço]],Tabela4[],5,FALSE),"")</f>
        <v>0</v>
      </c>
      <c r="M285" s="22">
        <f>VLOOKUP(consArgamassa[[#This Row],[RecebID]],recebArgamassa[],14,FALSE)</f>
        <v>464.75</v>
      </c>
      <c r="N285" s="22">
        <f>IFERROR(VLOOKUP(consArgamassa[[#This Row],[Serviço]],Tabela4[],6,FALSE),"")</f>
        <v>500</v>
      </c>
      <c r="O285" s="1" t="s">
        <v>274</v>
      </c>
      <c r="P285" s="13">
        <v>36892</v>
      </c>
    </row>
    <row r="286" spans="1:16" x14ac:dyDescent="0.25">
      <c r="A286" s="1" t="s">
        <v>206</v>
      </c>
      <c r="B286" s="7" t="str">
        <f>CONCATENATE("CNSARG",TEXT(consArgamassa[[#This Row],[Ordem]],"00000"))</f>
        <v>CNSARG00630</v>
      </c>
      <c r="C286" s="7">
        <v>630</v>
      </c>
      <c r="D286" s="10">
        <f>VLOOKUP(consArgamassa[[#This Row],[RecebID]],recebArgamassa[[RecebID]:[Insumo]],3,FALSE)</f>
        <v>45028.125</v>
      </c>
      <c r="E286" s="7" t="str">
        <f>VLOOKUP(consArgamassa[[#This Row],[RecebID]],recebArgamassa[[RecebID]:[Insumo]],4,FALSE)</f>
        <v>Argamassa Estabilizada</v>
      </c>
      <c r="F286" s="1" t="s">
        <v>250</v>
      </c>
      <c r="G286" s="1" t="s">
        <v>270</v>
      </c>
      <c r="H286" s="1" t="s">
        <v>297</v>
      </c>
      <c r="I286" s="1" t="s">
        <v>10</v>
      </c>
      <c r="J286" s="1" t="s">
        <v>23</v>
      </c>
      <c r="K286" s="2">
        <v>1</v>
      </c>
      <c r="L286" s="23">
        <f>IFERROR(VLOOKUP(consArgamassa[[#This Row],[Serviço]],Tabela4[],5,FALSE),"")</f>
        <v>0</v>
      </c>
      <c r="M286" s="22">
        <f>VLOOKUP(consArgamassa[[#This Row],[RecebID]],recebArgamassa[],14,FALSE)</f>
        <v>464.75</v>
      </c>
      <c r="N286" s="22">
        <f>IFERROR(VLOOKUP(consArgamassa[[#This Row],[Serviço]],Tabela4[],6,FALSE),"")</f>
        <v>500</v>
      </c>
      <c r="O286" s="1" t="s">
        <v>274</v>
      </c>
      <c r="P286" s="13">
        <v>36892</v>
      </c>
    </row>
    <row r="287" spans="1:16" x14ac:dyDescent="0.25">
      <c r="A287" s="1" t="s">
        <v>207</v>
      </c>
      <c r="B287" s="7" t="str">
        <f>CONCATENATE("CNSARG",TEXT(consArgamassa[[#This Row],[Ordem]],"00000"))</f>
        <v>CNSARG00631</v>
      </c>
      <c r="C287" s="7">
        <v>631</v>
      </c>
      <c r="D287" s="10">
        <f>VLOOKUP(consArgamassa[[#This Row],[RecebID]],recebArgamassa[[RecebID]:[Insumo]],3,FALSE)</f>
        <v>45029.125</v>
      </c>
      <c r="E287" s="7" t="str">
        <f>VLOOKUP(consArgamassa[[#This Row],[RecebID]],recebArgamassa[[RecebID]:[Insumo]],4,FALSE)</f>
        <v>Argamassa Estabilizada</v>
      </c>
      <c r="F287" s="1" t="s">
        <v>250</v>
      </c>
      <c r="G287" s="1" t="s">
        <v>270</v>
      </c>
      <c r="H287" s="1" t="s">
        <v>297</v>
      </c>
      <c r="I287" s="1" t="s">
        <v>10</v>
      </c>
      <c r="J287" s="1" t="s">
        <v>246</v>
      </c>
      <c r="K287" s="2">
        <v>1</v>
      </c>
      <c r="L287" s="23">
        <f>IFERROR(VLOOKUP(consArgamassa[[#This Row],[Serviço]],Tabela4[],5,FALSE),"")</f>
        <v>0</v>
      </c>
      <c r="M287" s="22">
        <f>VLOOKUP(consArgamassa[[#This Row],[RecebID]],recebArgamassa[],14,FALSE)</f>
        <v>464.75</v>
      </c>
      <c r="N287" s="22">
        <f>IFERROR(VLOOKUP(consArgamassa[[#This Row],[Serviço]],Tabela4[],6,FALSE),"")</f>
        <v>500</v>
      </c>
      <c r="O287" s="1" t="s">
        <v>274</v>
      </c>
      <c r="P287" s="13">
        <v>36892</v>
      </c>
    </row>
    <row r="288" spans="1:16" x14ac:dyDescent="0.25">
      <c r="A288" s="1" t="s">
        <v>208</v>
      </c>
      <c r="B288" s="7" t="str">
        <f>CONCATENATE("CNSARG",TEXT(consArgamassa[[#This Row],[Ordem]],"00000"))</f>
        <v>CNSARG00632</v>
      </c>
      <c r="C288" s="7">
        <v>632</v>
      </c>
      <c r="D288" s="10">
        <f>VLOOKUP(consArgamassa[[#This Row],[RecebID]],recebArgamassa[[RecebID]:[Insumo]],3,FALSE)</f>
        <v>45030.125</v>
      </c>
      <c r="E288" s="7" t="str">
        <f>VLOOKUP(consArgamassa[[#This Row],[RecebID]],recebArgamassa[[RecebID]:[Insumo]],4,FALSE)</f>
        <v>Argamassa Estabilizada</v>
      </c>
      <c r="F288" s="1" t="s">
        <v>250</v>
      </c>
      <c r="G288" s="1" t="s">
        <v>270</v>
      </c>
      <c r="H288" s="1" t="s">
        <v>296</v>
      </c>
      <c r="I288" s="1" t="s">
        <v>10</v>
      </c>
      <c r="J288" s="1" t="s">
        <v>243</v>
      </c>
      <c r="K288" s="2">
        <v>1</v>
      </c>
      <c r="L288" s="23">
        <f>IFERROR(VLOOKUP(consArgamassa[[#This Row],[Serviço]],Tabela4[],5,FALSE),"")</f>
        <v>0</v>
      </c>
      <c r="M288" s="22">
        <f>VLOOKUP(consArgamassa[[#This Row],[RecebID]],recebArgamassa[],14,FALSE)</f>
        <v>464.75</v>
      </c>
      <c r="N288" s="22">
        <f>IFERROR(VLOOKUP(consArgamassa[[#This Row],[Serviço]],Tabela4[],6,FALSE),"")</f>
        <v>500</v>
      </c>
      <c r="O288" s="1" t="s">
        <v>274</v>
      </c>
      <c r="P288" s="13">
        <v>36892</v>
      </c>
    </row>
    <row r="289" spans="1:16" x14ac:dyDescent="0.25">
      <c r="A289" s="1" t="s">
        <v>209</v>
      </c>
      <c r="B289" s="7" t="str">
        <f>CONCATENATE("CNSARG",TEXT(consArgamassa[[#This Row],[Ordem]],"00000"))</f>
        <v>CNSARG00633</v>
      </c>
      <c r="C289" s="7">
        <v>633</v>
      </c>
      <c r="D289" s="10">
        <f>VLOOKUP(consArgamassa[[#This Row],[RecebID]],recebArgamassa[[RecebID]:[Insumo]],3,FALSE)</f>
        <v>45033.125</v>
      </c>
      <c r="E289" s="7" t="str">
        <f>VLOOKUP(consArgamassa[[#This Row],[RecebID]],recebArgamassa[[RecebID]:[Insumo]],4,FALSE)</f>
        <v>Argamassa Estabilizada</v>
      </c>
      <c r="F289" s="1" t="s">
        <v>239</v>
      </c>
      <c r="G289" s="1" t="s">
        <v>270</v>
      </c>
      <c r="H289" s="1" t="s">
        <v>297</v>
      </c>
      <c r="I289" s="1" t="s">
        <v>10</v>
      </c>
      <c r="J289" s="1" t="s">
        <v>239</v>
      </c>
      <c r="K289" s="2">
        <v>1</v>
      </c>
      <c r="L289" s="23">
        <f>IFERROR(VLOOKUP(consArgamassa[[#This Row],[Serviço]],Tabela4[],5,FALSE),"")</f>
        <v>0</v>
      </c>
      <c r="M289" s="22">
        <f>VLOOKUP(consArgamassa[[#This Row],[RecebID]],recebArgamassa[],14,FALSE)</f>
        <v>464.75</v>
      </c>
      <c r="N289" s="22">
        <f>IFERROR(VLOOKUP(consArgamassa[[#This Row],[Serviço]],Tabela4[],6,FALSE),"")</f>
        <v>500</v>
      </c>
      <c r="O289" s="1" t="s">
        <v>274</v>
      </c>
      <c r="P289" s="13">
        <v>36892</v>
      </c>
    </row>
    <row r="290" spans="1:16" x14ac:dyDescent="0.25">
      <c r="A290" s="1" t="s">
        <v>210</v>
      </c>
      <c r="B290" s="7" t="str">
        <f>CONCATENATE("CNSARG",TEXT(consArgamassa[[#This Row],[Ordem]],"00000"))</f>
        <v>CNSARG00634</v>
      </c>
      <c r="C290" s="7">
        <v>634</v>
      </c>
      <c r="D290" s="10">
        <f>VLOOKUP(consArgamassa[[#This Row],[RecebID]],recebArgamassa[[RecebID]:[Insumo]],3,FALSE)</f>
        <v>45034.125</v>
      </c>
      <c r="E290" s="7" t="str">
        <f>VLOOKUP(consArgamassa[[#This Row],[RecebID]],recebArgamassa[[RecebID]:[Insumo]],4,FALSE)</f>
        <v>Argamassa Estabilizada</v>
      </c>
      <c r="F290" s="1" t="s">
        <v>250</v>
      </c>
      <c r="G290" s="1" t="s">
        <v>270</v>
      </c>
      <c r="H290" s="1" t="s">
        <v>296</v>
      </c>
      <c r="I290" s="1" t="s">
        <v>10</v>
      </c>
      <c r="J290" s="1" t="s">
        <v>243</v>
      </c>
      <c r="K290" s="2">
        <v>1.5</v>
      </c>
      <c r="L290" s="23">
        <f>IFERROR(VLOOKUP(consArgamassa[[#This Row],[Serviço]],Tabela4[],5,FALSE),"")</f>
        <v>0</v>
      </c>
      <c r="M290" s="22">
        <f>VLOOKUP(consArgamassa[[#This Row],[RecebID]],recebArgamassa[],14,FALSE)</f>
        <v>464.75</v>
      </c>
      <c r="N290" s="22">
        <f>IFERROR(VLOOKUP(consArgamassa[[#This Row],[Serviço]],Tabela4[],6,FALSE),"")</f>
        <v>500</v>
      </c>
      <c r="O290" s="1" t="s">
        <v>274</v>
      </c>
      <c r="P290" s="13">
        <v>36892</v>
      </c>
    </row>
    <row r="291" spans="1:16" x14ac:dyDescent="0.25">
      <c r="A291" s="1" t="s">
        <v>211</v>
      </c>
      <c r="B291" s="7" t="str">
        <f>CONCATENATE("CNSARG",TEXT(consArgamassa[[#This Row],[Ordem]],"00000"))</f>
        <v>CNSARG00635</v>
      </c>
      <c r="C291" s="7">
        <v>635</v>
      </c>
      <c r="D291" s="10">
        <f>VLOOKUP(consArgamassa[[#This Row],[RecebID]],recebArgamassa[[RecebID]:[Insumo]],3,FALSE)</f>
        <v>45035.125</v>
      </c>
      <c r="E291" s="7" t="str">
        <f>VLOOKUP(consArgamassa[[#This Row],[RecebID]],recebArgamassa[[RecebID]:[Insumo]],4,FALSE)</f>
        <v>Argamassa Estabilizada</v>
      </c>
      <c r="F291" s="1" t="s">
        <v>250</v>
      </c>
      <c r="G291" s="1" t="s">
        <v>270</v>
      </c>
      <c r="H291" s="1" t="s">
        <v>297</v>
      </c>
      <c r="I291" s="1" t="s">
        <v>10</v>
      </c>
      <c r="J291" s="1" t="s">
        <v>239</v>
      </c>
      <c r="K291" s="2">
        <v>1</v>
      </c>
      <c r="L291" s="23">
        <f>IFERROR(VLOOKUP(consArgamassa[[#This Row],[Serviço]],Tabela4[],5,FALSE),"")</f>
        <v>0</v>
      </c>
      <c r="M291" s="22">
        <f>VLOOKUP(consArgamassa[[#This Row],[RecebID]],recebArgamassa[],14,FALSE)</f>
        <v>464.75</v>
      </c>
      <c r="N291" s="22">
        <f>IFERROR(VLOOKUP(consArgamassa[[#This Row],[Serviço]],Tabela4[],6,FALSE),"")</f>
        <v>500</v>
      </c>
      <c r="O291" s="1" t="s">
        <v>274</v>
      </c>
      <c r="P291" s="13">
        <v>36892</v>
      </c>
    </row>
    <row r="292" spans="1:16" x14ac:dyDescent="0.25">
      <c r="A292" s="1" t="s">
        <v>212</v>
      </c>
      <c r="B292" s="7" t="str">
        <f>CONCATENATE("CNSARG",TEXT(consArgamassa[[#This Row],[Ordem]],"00000"))</f>
        <v>CNSARG00636</v>
      </c>
      <c r="C292" s="7">
        <v>636</v>
      </c>
      <c r="D292" s="10">
        <f>VLOOKUP(consArgamassa[[#This Row],[RecebID]],recebArgamassa[[RecebID]:[Insumo]],3,FALSE)</f>
        <v>45040.125</v>
      </c>
      <c r="E292" s="7" t="str">
        <f>VLOOKUP(consArgamassa[[#This Row],[RecebID]],recebArgamassa[[RecebID]:[Insumo]],4,FALSE)</f>
        <v>Argamassa Estabilizada</v>
      </c>
      <c r="F292" s="1" t="s">
        <v>239</v>
      </c>
      <c r="G292" s="1" t="s">
        <v>270</v>
      </c>
      <c r="H292" s="1" t="s">
        <v>297</v>
      </c>
      <c r="I292" s="1" t="s">
        <v>10</v>
      </c>
      <c r="J292" s="1" t="s">
        <v>239</v>
      </c>
      <c r="K292" s="2">
        <v>1</v>
      </c>
      <c r="L292" s="23">
        <f>IFERROR(VLOOKUP(consArgamassa[[#This Row],[Serviço]],Tabela4[],5,FALSE),"")</f>
        <v>0</v>
      </c>
      <c r="M292" s="22">
        <f>VLOOKUP(consArgamassa[[#This Row],[RecebID]],recebArgamassa[],14,FALSE)</f>
        <v>464.75</v>
      </c>
      <c r="N292" s="22">
        <f>IFERROR(VLOOKUP(consArgamassa[[#This Row],[Serviço]],Tabela4[],6,FALSE),"")</f>
        <v>500</v>
      </c>
      <c r="O292" s="1" t="s">
        <v>274</v>
      </c>
      <c r="P292" s="13">
        <v>36892</v>
      </c>
    </row>
    <row r="293" spans="1:16" x14ac:dyDescent="0.25">
      <c r="A293" s="1" t="s">
        <v>213</v>
      </c>
      <c r="B293" s="7" t="str">
        <f>CONCATENATE("CNSARG",TEXT(consArgamassa[[#This Row],[Ordem]],"00000"))</f>
        <v>CNSARG00637</v>
      </c>
      <c r="C293" s="7">
        <v>637</v>
      </c>
      <c r="D293" s="10">
        <f>VLOOKUP(consArgamassa[[#This Row],[RecebID]],recebArgamassa[[RecebID]:[Insumo]],3,FALSE)</f>
        <v>45041.125</v>
      </c>
      <c r="E293" s="7" t="str">
        <f>VLOOKUP(consArgamassa[[#This Row],[RecebID]],recebArgamassa[[RecebID]:[Insumo]],4,FALSE)</f>
        <v>Argamassa Estabilizada</v>
      </c>
      <c r="F293" s="1" t="s">
        <v>239</v>
      </c>
      <c r="G293" s="1" t="s">
        <v>270</v>
      </c>
      <c r="H293" s="1" t="s">
        <v>297</v>
      </c>
      <c r="I293" s="1" t="s">
        <v>10</v>
      </c>
      <c r="J293" s="1" t="s">
        <v>239</v>
      </c>
      <c r="K293" s="2">
        <v>1</v>
      </c>
      <c r="L293" s="23">
        <f>IFERROR(VLOOKUP(consArgamassa[[#This Row],[Serviço]],Tabela4[],5,FALSE),"")</f>
        <v>0</v>
      </c>
      <c r="M293" s="22">
        <f>VLOOKUP(consArgamassa[[#This Row],[RecebID]],recebArgamassa[],14,FALSE)</f>
        <v>464.75</v>
      </c>
      <c r="N293" s="22">
        <f>IFERROR(VLOOKUP(consArgamassa[[#This Row],[Serviço]],Tabela4[],6,FALSE),"")</f>
        <v>500</v>
      </c>
      <c r="O293" s="1" t="s">
        <v>274</v>
      </c>
      <c r="P293" s="13">
        <v>36892</v>
      </c>
    </row>
    <row r="294" spans="1:16" x14ac:dyDescent="0.25">
      <c r="A294" s="1" t="s">
        <v>214</v>
      </c>
      <c r="B294" s="7" t="str">
        <f>CONCATENATE("CNSARG",TEXT(consArgamassa[[#This Row],[Ordem]],"00000"))</f>
        <v>CNSARG00638</v>
      </c>
      <c r="C294" s="7">
        <v>638</v>
      </c>
      <c r="D294" s="10">
        <f>VLOOKUP(consArgamassa[[#This Row],[RecebID]],recebArgamassa[[RecebID]:[Insumo]],3,FALSE)</f>
        <v>44197</v>
      </c>
      <c r="E294" s="7" t="str">
        <f>VLOOKUP(consArgamassa[[#This Row],[RecebID]],recebArgamassa[[RecebID]:[Insumo]],4,FALSE)</f>
        <v>Argamassa Estabilizada</v>
      </c>
      <c r="F294" s="1" t="s">
        <v>250</v>
      </c>
      <c r="G294" s="1" t="s">
        <v>270</v>
      </c>
      <c r="H294" s="1" t="s">
        <v>296</v>
      </c>
      <c r="I294" s="1" t="s">
        <v>10</v>
      </c>
      <c r="J294" s="1" t="s">
        <v>240</v>
      </c>
      <c r="K294" s="2">
        <v>1</v>
      </c>
      <c r="L294" s="23">
        <f>IFERROR(VLOOKUP(consArgamassa[[#This Row],[Serviço]],Tabela4[],5,FALSE),"")</f>
        <v>0</v>
      </c>
      <c r="M294" s="22">
        <f>VLOOKUP(consArgamassa[[#This Row],[RecebID]],recebArgamassa[],14,FALSE)</f>
        <v>464.75</v>
      </c>
      <c r="N294" s="22">
        <f>IFERROR(VLOOKUP(consArgamassa[[#This Row],[Serviço]],Tabela4[],6,FALSE),"")</f>
        <v>500</v>
      </c>
      <c r="O294" s="1" t="s">
        <v>274</v>
      </c>
      <c r="P294" s="13">
        <v>36892</v>
      </c>
    </row>
    <row r="295" spans="1:16" x14ac:dyDescent="0.25">
      <c r="A295" s="1" t="s">
        <v>215</v>
      </c>
      <c r="B295" s="7" t="str">
        <f>CONCATENATE("CNSARG",TEXT(consArgamassa[[#This Row],[Ordem]],"00000"))</f>
        <v>CNSARG00639</v>
      </c>
      <c r="C295" s="7">
        <v>639</v>
      </c>
      <c r="D295" s="10">
        <f>VLOOKUP(consArgamassa[[#This Row],[RecebID]],recebArgamassa[[RecebID]:[Insumo]],3,FALSE)</f>
        <v>45044.125</v>
      </c>
      <c r="E295" s="7" t="str">
        <f>VLOOKUP(consArgamassa[[#This Row],[RecebID]],recebArgamassa[[RecebID]:[Insumo]],4,FALSE)</f>
        <v>Argamassa Estabilizada</v>
      </c>
      <c r="F295" s="1" t="s">
        <v>250</v>
      </c>
      <c r="G295" s="1" t="s">
        <v>270</v>
      </c>
      <c r="H295" s="1" t="s">
        <v>296</v>
      </c>
      <c r="I295" s="1" t="s">
        <v>10</v>
      </c>
      <c r="J295" s="1" t="s">
        <v>240</v>
      </c>
      <c r="K295" s="2">
        <v>1</v>
      </c>
      <c r="L295" s="23">
        <f>IFERROR(VLOOKUP(consArgamassa[[#This Row],[Serviço]],Tabela4[],5,FALSE),"")</f>
        <v>0</v>
      </c>
      <c r="M295" s="22">
        <f>VLOOKUP(consArgamassa[[#This Row],[RecebID]],recebArgamassa[],14,FALSE)</f>
        <v>464.75</v>
      </c>
      <c r="N295" s="22">
        <f>IFERROR(VLOOKUP(consArgamassa[[#This Row],[Serviço]],Tabela4[],6,FALSE),"")</f>
        <v>500</v>
      </c>
      <c r="O295" s="1" t="s">
        <v>274</v>
      </c>
      <c r="P295" s="13">
        <v>36892</v>
      </c>
    </row>
    <row r="296" spans="1:16" x14ac:dyDescent="0.25">
      <c r="A296" s="1" t="s">
        <v>216</v>
      </c>
      <c r="B296" s="7" t="str">
        <f>CONCATENATE("CNSARG",TEXT(consArgamassa[[#This Row],[Ordem]],"00000"))</f>
        <v>CNSARG00640</v>
      </c>
      <c r="C296" s="7">
        <v>640</v>
      </c>
      <c r="D296" s="10">
        <f>VLOOKUP(consArgamassa[[#This Row],[RecebID]],recebArgamassa[[RecebID]:[Insumo]],3,FALSE)</f>
        <v>45048.125</v>
      </c>
      <c r="E296" s="7" t="str">
        <f>VLOOKUP(consArgamassa[[#This Row],[RecebID]],recebArgamassa[[RecebID]:[Insumo]],4,FALSE)</f>
        <v>Argamassa Estabilizada</v>
      </c>
      <c r="F296" s="1" t="s">
        <v>239</v>
      </c>
      <c r="G296" s="1" t="s">
        <v>270</v>
      </c>
      <c r="H296" s="1" t="s">
        <v>297</v>
      </c>
      <c r="I296" s="1" t="s">
        <v>10</v>
      </c>
      <c r="J296" s="1" t="s">
        <v>239</v>
      </c>
      <c r="K296" s="2">
        <v>1.5</v>
      </c>
      <c r="L296" s="23">
        <f>IFERROR(VLOOKUP(consArgamassa[[#This Row],[Serviço]],Tabela4[],5,FALSE),"")</f>
        <v>0</v>
      </c>
      <c r="M296" s="22">
        <f>VLOOKUP(consArgamassa[[#This Row],[RecebID]],recebArgamassa[],14,FALSE)</f>
        <v>464.75</v>
      </c>
      <c r="N296" s="22">
        <f>IFERROR(VLOOKUP(consArgamassa[[#This Row],[Serviço]],Tabela4[],6,FALSE),"")</f>
        <v>500</v>
      </c>
      <c r="O296" s="1" t="s">
        <v>274</v>
      </c>
      <c r="P296" s="13">
        <v>36892</v>
      </c>
    </row>
    <row r="297" spans="1:16" x14ac:dyDescent="0.25">
      <c r="A297" s="1" t="s">
        <v>217</v>
      </c>
      <c r="B297" s="7" t="str">
        <f>CONCATENATE("CNSARG",TEXT(consArgamassa[[#This Row],[Ordem]],"00000"))</f>
        <v>CNSARG00641</v>
      </c>
      <c r="C297" s="7">
        <v>641</v>
      </c>
      <c r="D297" s="10">
        <f>VLOOKUP(consArgamassa[[#This Row],[RecebID]],recebArgamassa[[RecebID]:[Insumo]],3,FALSE)</f>
        <v>45050.125</v>
      </c>
      <c r="E297" s="7" t="str">
        <f>VLOOKUP(consArgamassa[[#This Row],[RecebID]],recebArgamassa[[RecebID]:[Insumo]],4,FALSE)</f>
        <v>Argamassa Estabilizada</v>
      </c>
      <c r="F297" s="1" t="s">
        <v>250</v>
      </c>
      <c r="G297" s="1" t="s">
        <v>255</v>
      </c>
      <c r="H297" s="1">
        <v>10</v>
      </c>
      <c r="I297" s="1" t="s">
        <v>238</v>
      </c>
      <c r="J297" s="1" t="s">
        <v>238</v>
      </c>
      <c r="K297" s="2">
        <v>1</v>
      </c>
      <c r="L297" s="23">
        <f>IFERROR(VLOOKUP(consArgamassa[[#This Row],[Serviço]],Tabela4[],5,FALSE),"")</f>
        <v>0</v>
      </c>
      <c r="M297" s="22">
        <f>VLOOKUP(consArgamassa[[#This Row],[RecebID]],recebArgamassa[],14,FALSE)</f>
        <v>464.75</v>
      </c>
      <c r="N297" s="22">
        <f>IFERROR(VLOOKUP(consArgamassa[[#This Row],[Serviço]],Tabela4[],6,FALSE),"")</f>
        <v>500</v>
      </c>
      <c r="O297" s="1" t="s">
        <v>274</v>
      </c>
      <c r="P297" s="13">
        <v>36892</v>
      </c>
    </row>
    <row r="298" spans="1:16" x14ac:dyDescent="0.25">
      <c r="A298" s="1" t="s">
        <v>218</v>
      </c>
      <c r="B298" s="7" t="str">
        <f>CONCATENATE("CNSARG",TEXT(consArgamassa[[#This Row],[Ordem]],"00000"))</f>
        <v>CNSARG00642</v>
      </c>
      <c r="C298" s="7">
        <v>642</v>
      </c>
      <c r="D298" s="10">
        <f>VLOOKUP(consArgamassa[[#This Row],[RecebID]],recebArgamassa[[RecebID]:[Insumo]],3,FALSE)</f>
        <v>45051.125</v>
      </c>
      <c r="E298" s="7" t="str">
        <f>VLOOKUP(consArgamassa[[#This Row],[RecebID]],recebArgamassa[[RecebID]:[Insumo]],4,FALSE)</f>
        <v>Argamassa Estabilizada</v>
      </c>
      <c r="F298" s="1" t="s">
        <v>239</v>
      </c>
      <c r="G298" s="1" t="s">
        <v>270</v>
      </c>
      <c r="H298" s="1" t="s">
        <v>297</v>
      </c>
      <c r="I298" s="1" t="s">
        <v>10</v>
      </c>
      <c r="J298" s="1" t="s">
        <v>239</v>
      </c>
      <c r="K298" s="2">
        <v>1</v>
      </c>
      <c r="L298" s="23">
        <f>IFERROR(VLOOKUP(consArgamassa[[#This Row],[Serviço]],Tabela4[],5,FALSE),"")</f>
        <v>0</v>
      </c>
      <c r="M298" s="22">
        <f>VLOOKUP(consArgamassa[[#This Row],[RecebID]],recebArgamassa[],14,FALSE)</f>
        <v>464.75</v>
      </c>
      <c r="N298" s="22">
        <f>IFERROR(VLOOKUP(consArgamassa[[#This Row],[Serviço]],Tabela4[],6,FALSE),"")</f>
        <v>500</v>
      </c>
      <c r="O298" s="1" t="s">
        <v>274</v>
      </c>
      <c r="P298" s="13">
        <v>36892</v>
      </c>
    </row>
    <row r="299" spans="1:16" x14ac:dyDescent="0.25">
      <c r="A299" s="1" t="s">
        <v>219</v>
      </c>
      <c r="B299" s="7" t="str">
        <f>CONCATENATE("CNSARG",TEXT(consArgamassa[[#This Row],[Ordem]],"00000"))</f>
        <v>CNSARG00643</v>
      </c>
      <c r="C299" s="7">
        <v>643</v>
      </c>
      <c r="D299" s="10">
        <f>VLOOKUP(consArgamassa[[#This Row],[RecebID]],recebArgamassa[[RecebID]:[Insumo]],3,FALSE)</f>
        <v>45054.125</v>
      </c>
      <c r="E299" s="7" t="str">
        <f>VLOOKUP(consArgamassa[[#This Row],[RecebID]],recebArgamassa[[RecebID]:[Insumo]],4,FALSE)</f>
        <v>Argamassa Estabilizada</v>
      </c>
      <c r="F299" s="1" t="s">
        <v>247</v>
      </c>
      <c r="G299" s="1" t="s">
        <v>256</v>
      </c>
      <c r="H299" s="1">
        <v>10</v>
      </c>
      <c r="I299" s="1" t="s">
        <v>7</v>
      </c>
      <c r="K299" s="2">
        <v>1</v>
      </c>
      <c r="L299" s="23">
        <f>IFERROR(VLOOKUP(consArgamassa[[#This Row],[Serviço]],Tabela4[],5,FALSE),"")</f>
        <v>0</v>
      </c>
      <c r="M299" s="22">
        <f>VLOOKUP(consArgamassa[[#This Row],[RecebID]],recebArgamassa[],14,FALSE)</f>
        <v>464.75</v>
      </c>
      <c r="N299" s="22">
        <f>IFERROR(VLOOKUP(consArgamassa[[#This Row],[Serviço]],Tabela4[],6,FALSE),"")</f>
        <v>500</v>
      </c>
      <c r="O299" s="1" t="s">
        <v>274</v>
      </c>
      <c r="P299" s="13">
        <v>36892</v>
      </c>
    </row>
    <row r="300" spans="1:16" x14ac:dyDescent="0.25">
      <c r="A300" s="1" t="s">
        <v>220</v>
      </c>
      <c r="B300" s="7" t="str">
        <f>CONCATENATE("CNSARG",TEXT(consArgamassa[[#This Row],[Ordem]],"00000"))</f>
        <v>CNSARG00644</v>
      </c>
      <c r="C300" s="7">
        <v>644</v>
      </c>
      <c r="D300" s="10">
        <f>VLOOKUP(consArgamassa[[#This Row],[RecebID]],recebArgamassa[[RecebID]:[Insumo]],3,FALSE)</f>
        <v>45055.125</v>
      </c>
      <c r="E300" s="7" t="str">
        <f>VLOOKUP(consArgamassa[[#This Row],[RecebID]],recebArgamassa[[RecebID]:[Insumo]],4,FALSE)</f>
        <v>Argamassa Estabilizada</v>
      </c>
      <c r="F300" s="1" t="s">
        <v>247</v>
      </c>
      <c r="G300" s="1" t="s">
        <v>256</v>
      </c>
      <c r="H300" s="1">
        <v>10</v>
      </c>
      <c r="I300" s="1" t="s">
        <v>10</v>
      </c>
      <c r="K300" s="2">
        <v>1</v>
      </c>
      <c r="L300" s="23">
        <f>IFERROR(VLOOKUP(consArgamassa[[#This Row],[Serviço]],Tabela4[],5,FALSE),"")</f>
        <v>0</v>
      </c>
      <c r="M300" s="22">
        <f>VLOOKUP(consArgamassa[[#This Row],[RecebID]],recebArgamassa[],14,FALSE)</f>
        <v>464.75</v>
      </c>
      <c r="N300" s="22">
        <f>IFERROR(VLOOKUP(consArgamassa[[#This Row],[Serviço]],Tabela4[],6,FALSE),"")</f>
        <v>500</v>
      </c>
      <c r="O300" s="1" t="s">
        <v>274</v>
      </c>
      <c r="P300" s="13">
        <v>36892</v>
      </c>
    </row>
    <row r="301" spans="1:16" x14ac:dyDescent="0.25">
      <c r="A301" s="1" t="s">
        <v>221</v>
      </c>
      <c r="B301" s="7" t="str">
        <f>CONCATENATE("CNSARG",TEXT(consArgamassa[[#This Row],[Ordem]],"00000"))</f>
        <v>CNSARG00645</v>
      </c>
      <c r="C301" s="7">
        <v>645</v>
      </c>
      <c r="D301" s="10">
        <f>VLOOKUP(consArgamassa[[#This Row],[RecebID]],recebArgamassa[[RecebID]:[Insumo]],3,FALSE)</f>
        <v>45056.125</v>
      </c>
      <c r="E301" s="7" t="str">
        <f>VLOOKUP(consArgamassa[[#This Row],[RecebID]],recebArgamassa[[RecebID]:[Insumo]],4,FALSE)</f>
        <v>Argamassa Estabilizada</v>
      </c>
      <c r="F301" s="1" t="s">
        <v>247</v>
      </c>
      <c r="G301" s="1" t="s">
        <v>255</v>
      </c>
      <c r="H301" s="1">
        <v>2</v>
      </c>
      <c r="I301" s="1" t="s">
        <v>9</v>
      </c>
      <c r="K301" s="2">
        <v>1</v>
      </c>
      <c r="L301" s="23">
        <f>IFERROR(VLOOKUP(consArgamassa[[#This Row],[Serviço]],Tabela4[],5,FALSE),"")</f>
        <v>0</v>
      </c>
      <c r="M301" s="22">
        <f>VLOOKUP(consArgamassa[[#This Row],[RecebID]],recebArgamassa[],14,FALSE)</f>
        <v>464.75</v>
      </c>
      <c r="N301" s="22">
        <f>IFERROR(VLOOKUP(consArgamassa[[#This Row],[Serviço]],Tabela4[],6,FALSE),"")</f>
        <v>500</v>
      </c>
      <c r="O301" s="1" t="s">
        <v>274</v>
      </c>
      <c r="P301" s="13">
        <v>36892</v>
      </c>
    </row>
    <row r="302" spans="1:16" x14ac:dyDescent="0.25">
      <c r="A302" s="1" t="s">
        <v>222</v>
      </c>
      <c r="B302" s="7" t="str">
        <f>CONCATENATE("CNSARG",TEXT(consArgamassa[[#This Row],[Ordem]],"00000"))</f>
        <v>CNSARG00646</v>
      </c>
      <c r="C302" s="7">
        <v>646</v>
      </c>
      <c r="D302" s="10">
        <f>VLOOKUP(consArgamassa[[#This Row],[RecebID]],recebArgamassa[[RecebID]:[Insumo]],3,FALSE)</f>
        <v>45057.125</v>
      </c>
      <c r="E302" s="7" t="str">
        <f>VLOOKUP(consArgamassa[[#This Row],[RecebID]],recebArgamassa[[RecebID]:[Insumo]],4,FALSE)</f>
        <v>Argamassa Estabilizada</v>
      </c>
      <c r="F302" s="1" t="s">
        <v>247</v>
      </c>
      <c r="G302" s="1" t="s">
        <v>255</v>
      </c>
      <c r="H302" s="1">
        <v>3</v>
      </c>
      <c r="I302" s="1" t="s">
        <v>7</v>
      </c>
      <c r="K302" s="2">
        <v>1.5</v>
      </c>
      <c r="L302" s="23">
        <f>IFERROR(VLOOKUP(consArgamassa[[#This Row],[Serviço]],Tabela4[],5,FALSE),"")</f>
        <v>0</v>
      </c>
      <c r="M302" s="22">
        <f>VLOOKUP(consArgamassa[[#This Row],[RecebID]],recebArgamassa[],14,FALSE)</f>
        <v>464.75</v>
      </c>
      <c r="N302" s="22">
        <f>IFERROR(VLOOKUP(consArgamassa[[#This Row],[Serviço]],Tabela4[],6,FALSE),"")</f>
        <v>500</v>
      </c>
      <c r="O302" s="1" t="s">
        <v>274</v>
      </c>
      <c r="P302" s="13">
        <v>36892</v>
      </c>
    </row>
    <row r="303" spans="1:16" x14ac:dyDescent="0.25">
      <c r="A303" s="1" t="s">
        <v>223</v>
      </c>
      <c r="B303" s="7" t="str">
        <f>CONCATENATE("CNSARG",TEXT(consArgamassa[[#This Row],[Ordem]],"00000"))</f>
        <v>CNSARG00647</v>
      </c>
      <c r="C303" s="7">
        <v>647</v>
      </c>
      <c r="D303" s="10">
        <f>VLOOKUP(consArgamassa[[#This Row],[RecebID]],recebArgamassa[[RecebID]:[Insumo]],3,FALSE)</f>
        <v>45061.125</v>
      </c>
      <c r="E303" s="7" t="str">
        <f>VLOOKUP(consArgamassa[[#This Row],[RecebID]],recebArgamassa[[RecebID]:[Insumo]],4,FALSE)</f>
        <v>Argamassa Estabilizada</v>
      </c>
      <c r="F303" s="1" t="s">
        <v>264</v>
      </c>
      <c r="G303" s="1" t="s">
        <v>256</v>
      </c>
      <c r="H303" s="1">
        <v>7</v>
      </c>
      <c r="I303" s="1" t="s">
        <v>10</v>
      </c>
      <c r="K303" s="2">
        <v>1</v>
      </c>
      <c r="L303" s="23">
        <f>IFERROR(VLOOKUP(consArgamassa[[#This Row],[Serviço]],Tabela4[],5,FALSE),"")</f>
        <v>1.3352499999999998</v>
      </c>
      <c r="M303" s="22">
        <f>VLOOKUP(consArgamassa[[#This Row],[RecebID]],recebArgamassa[],14,FALSE)</f>
        <v>464.75</v>
      </c>
      <c r="N303" s="22">
        <f>IFERROR(VLOOKUP(consArgamassa[[#This Row],[Serviço]],Tabela4[],6,FALSE),"")</f>
        <v>500</v>
      </c>
      <c r="O303" s="1" t="s">
        <v>274</v>
      </c>
      <c r="P303" s="13">
        <v>36892</v>
      </c>
    </row>
    <row r="304" spans="1:16" x14ac:dyDescent="0.25">
      <c r="A304" s="1" t="s">
        <v>224</v>
      </c>
      <c r="B304" s="7" t="str">
        <f>CONCATENATE("CNSARG",TEXT(consArgamassa[[#This Row],[Ordem]],"00000"))</f>
        <v>CNSARG00648</v>
      </c>
      <c r="C304" s="7">
        <v>648</v>
      </c>
      <c r="D304" s="10">
        <f>VLOOKUP(consArgamassa[[#This Row],[RecebID]],recebArgamassa[[RecebID]:[Insumo]],3,FALSE)</f>
        <v>45062.125</v>
      </c>
      <c r="E304" s="7" t="str">
        <f>VLOOKUP(consArgamassa[[#This Row],[RecebID]],recebArgamassa[[RecebID]:[Insumo]],4,FALSE)</f>
        <v>Argamassa Estabilizada</v>
      </c>
      <c r="F304" s="1" t="s">
        <v>239</v>
      </c>
      <c r="G304" s="1" t="s">
        <v>270</v>
      </c>
      <c r="H304" s="1" t="s">
        <v>297</v>
      </c>
      <c r="I304" s="1" t="s">
        <v>10</v>
      </c>
      <c r="J304" s="1" t="s">
        <v>239</v>
      </c>
      <c r="K304" s="2">
        <v>1</v>
      </c>
      <c r="L304" s="23">
        <f>IFERROR(VLOOKUP(consArgamassa[[#This Row],[Serviço]],Tabela4[],5,FALSE),"")</f>
        <v>0</v>
      </c>
      <c r="M304" s="22">
        <f>VLOOKUP(consArgamassa[[#This Row],[RecebID]],recebArgamassa[],14,FALSE)</f>
        <v>464.75</v>
      </c>
      <c r="N304" s="22">
        <f>IFERROR(VLOOKUP(consArgamassa[[#This Row],[Serviço]],Tabela4[],6,FALSE),"")</f>
        <v>500</v>
      </c>
      <c r="O304" s="1" t="s">
        <v>274</v>
      </c>
      <c r="P304" s="13">
        <v>36892</v>
      </c>
    </row>
    <row r="305" spans="1:16" x14ac:dyDescent="0.25">
      <c r="A305" s="1" t="s">
        <v>225</v>
      </c>
      <c r="B305" s="7" t="str">
        <f>CONCATENATE("CNSARG",TEXT(consArgamassa[[#This Row],[Ordem]],"00000"))</f>
        <v>CNSARG00649</v>
      </c>
      <c r="C305" s="7">
        <v>649</v>
      </c>
      <c r="D305" s="10">
        <f>VLOOKUP(consArgamassa[[#This Row],[RecebID]],recebArgamassa[[RecebID]:[Insumo]],3,FALSE)</f>
        <v>45063.125</v>
      </c>
      <c r="E305" s="7" t="str">
        <f>VLOOKUP(consArgamassa[[#This Row],[RecebID]],recebArgamassa[[RecebID]:[Insumo]],4,FALSE)</f>
        <v>Argamassa Estabilizada</v>
      </c>
      <c r="F305" s="1" t="s">
        <v>239</v>
      </c>
      <c r="G305" s="1" t="s">
        <v>270</v>
      </c>
      <c r="H305" s="1" t="s">
        <v>297</v>
      </c>
      <c r="I305" s="1" t="s">
        <v>10</v>
      </c>
      <c r="J305" s="1" t="s">
        <v>239</v>
      </c>
      <c r="K305" s="2">
        <v>1.5</v>
      </c>
      <c r="L305" s="23">
        <f>IFERROR(VLOOKUP(consArgamassa[[#This Row],[Serviço]],Tabela4[],5,FALSE),"")</f>
        <v>0</v>
      </c>
      <c r="M305" s="22">
        <f>VLOOKUP(consArgamassa[[#This Row],[RecebID]],recebArgamassa[],14,FALSE)</f>
        <v>464.75</v>
      </c>
      <c r="N305" s="22">
        <f>IFERROR(VLOOKUP(consArgamassa[[#This Row],[Serviço]],Tabela4[],6,FALSE),"")</f>
        <v>500</v>
      </c>
      <c r="O305" s="1" t="s">
        <v>274</v>
      </c>
      <c r="P305" s="13">
        <v>36892</v>
      </c>
    </row>
    <row r="306" spans="1:16" x14ac:dyDescent="0.25">
      <c r="A306" s="1" t="s">
        <v>226</v>
      </c>
      <c r="B306" s="7" t="str">
        <f>CONCATENATE("CNSARG",TEXT(consArgamassa[[#This Row],[Ordem]],"00000"))</f>
        <v>CNSARG00650</v>
      </c>
      <c r="C306" s="7">
        <v>650</v>
      </c>
      <c r="D306" s="10">
        <f>VLOOKUP(consArgamassa[[#This Row],[RecebID]],recebArgamassa[[RecebID]:[Insumo]],3,FALSE)</f>
        <v>45063.125</v>
      </c>
      <c r="E306" s="7" t="str">
        <f>VLOOKUP(consArgamassa[[#This Row],[RecebID]],recebArgamassa[[RecebID]:[Insumo]],4,FALSE)</f>
        <v>Argamassa Estabilizada</v>
      </c>
      <c r="F306" s="1" t="s">
        <v>239</v>
      </c>
      <c r="G306" s="1" t="s">
        <v>270</v>
      </c>
      <c r="H306" s="1" t="s">
        <v>297</v>
      </c>
      <c r="I306" s="1" t="s">
        <v>10</v>
      </c>
      <c r="J306" s="1" t="s">
        <v>239</v>
      </c>
      <c r="K306" s="2">
        <v>1.5</v>
      </c>
      <c r="L306" s="23">
        <f>IFERROR(VLOOKUP(consArgamassa[[#This Row],[Serviço]],Tabela4[],5,FALSE),"")</f>
        <v>0</v>
      </c>
      <c r="M306" s="22">
        <f>VLOOKUP(consArgamassa[[#This Row],[RecebID]],recebArgamassa[],14,FALSE)</f>
        <v>464.75</v>
      </c>
      <c r="N306" s="22">
        <f>IFERROR(VLOOKUP(consArgamassa[[#This Row],[Serviço]],Tabela4[],6,FALSE),"")</f>
        <v>500</v>
      </c>
      <c r="O306" s="1" t="s">
        <v>274</v>
      </c>
      <c r="P306" s="13">
        <v>36892</v>
      </c>
    </row>
    <row r="307" spans="1:16" x14ac:dyDescent="0.25">
      <c r="A307" s="1" t="s">
        <v>227</v>
      </c>
      <c r="B307" s="7" t="str">
        <f>CONCATENATE("CNSARG",TEXT(consArgamassa[[#This Row],[Ordem]],"00000"))</f>
        <v>CNSARG00651</v>
      </c>
      <c r="C307" s="7">
        <v>651</v>
      </c>
      <c r="D307" s="10">
        <f>VLOOKUP(consArgamassa[[#This Row],[RecebID]],recebArgamassa[[RecebID]:[Insumo]],3,FALSE)</f>
        <v>45068.125</v>
      </c>
      <c r="E307" s="7" t="str">
        <f>VLOOKUP(consArgamassa[[#This Row],[RecebID]],recebArgamassa[[RecebID]:[Insumo]],4,FALSE)</f>
        <v>Argamassa Estabilizada</v>
      </c>
      <c r="F307" s="1" t="s">
        <v>248</v>
      </c>
      <c r="G307" s="1" t="s">
        <v>255</v>
      </c>
      <c r="H307" s="1">
        <v>10</v>
      </c>
      <c r="I307" s="1" t="s">
        <v>238</v>
      </c>
      <c r="J307" s="1" t="s">
        <v>238</v>
      </c>
      <c r="K307" s="2">
        <v>1.5</v>
      </c>
      <c r="L307" s="23">
        <f>IFERROR(VLOOKUP(consArgamassa[[#This Row],[Serviço]],Tabela4[],5,FALSE),"")</f>
        <v>1.98</v>
      </c>
      <c r="M307" s="22">
        <f>VLOOKUP(consArgamassa[[#This Row],[RecebID]],recebArgamassa[],14,FALSE)</f>
        <v>464.75</v>
      </c>
      <c r="N307" s="22">
        <f>IFERROR(VLOOKUP(consArgamassa[[#This Row],[Serviço]],Tabela4[],6,FALSE),"")</f>
        <v>500</v>
      </c>
      <c r="O307" s="1" t="s">
        <v>274</v>
      </c>
      <c r="P307" s="13">
        <v>36892</v>
      </c>
    </row>
    <row r="308" spans="1:16" x14ac:dyDescent="0.25">
      <c r="A308" s="1" t="s">
        <v>228</v>
      </c>
      <c r="B308" s="7" t="str">
        <f>CONCATENATE("CNSARG",TEXT(consArgamassa[[#This Row],[Ordem]],"00000"))</f>
        <v>CNSARG00652</v>
      </c>
      <c r="C308" s="7">
        <v>652</v>
      </c>
      <c r="D308" s="10">
        <f>VLOOKUP(consArgamassa[[#This Row],[RecebID]],recebArgamassa[[RecebID]:[Insumo]],3,FALSE)</f>
        <v>45069.125</v>
      </c>
      <c r="E308" s="7" t="str">
        <f>VLOOKUP(consArgamassa[[#This Row],[RecebID]],recebArgamassa[[RecebID]:[Insumo]],4,FALSE)</f>
        <v>Argamassa Estabilizada</v>
      </c>
      <c r="F308" s="1" t="s">
        <v>239</v>
      </c>
      <c r="G308" s="1" t="s">
        <v>270</v>
      </c>
      <c r="H308" s="1" t="s">
        <v>297</v>
      </c>
      <c r="I308" s="1" t="s">
        <v>10</v>
      </c>
      <c r="J308" s="1" t="s">
        <v>239</v>
      </c>
      <c r="K308" s="2">
        <v>1.5</v>
      </c>
      <c r="L308" s="23">
        <f>IFERROR(VLOOKUP(consArgamassa[[#This Row],[Serviço]],Tabela4[],5,FALSE),"")</f>
        <v>0</v>
      </c>
      <c r="M308" s="22">
        <f>VLOOKUP(consArgamassa[[#This Row],[RecebID]],recebArgamassa[],14,FALSE)</f>
        <v>464.75</v>
      </c>
      <c r="N308" s="22">
        <f>IFERROR(VLOOKUP(consArgamassa[[#This Row],[Serviço]],Tabela4[],6,FALSE),"")</f>
        <v>500</v>
      </c>
      <c r="O308" s="1" t="s">
        <v>274</v>
      </c>
      <c r="P308" s="13">
        <v>36892</v>
      </c>
    </row>
    <row r="309" spans="1:16" x14ac:dyDescent="0.25">
      <c r="A309" s="1" t="s">
        <v>230</v>
      </c>
      <c r="B309" s="7" t="str">
        <f>CONCATENATE("CNSARG",TEXT(consArgamassa[[#This Row],[Ordem]],"00000"))</f>
        <v>CNSARG00654</v>
      </c>
      <c r="C309" s="7">
        <v>654</v>
      </c>
      <c r="D309" s="10">
        <f>VLOOKUP(consArgamassa[[#This Row],[RecebID]],recebArgamassa[[RecebID]:[Insumo]],3,FALSE)</f>
        <v>45075.125</v>
      </c>
      <c r="E309" s="7" t="str">
        <f>VLOOKUP(consArgamassa[[#This Row],[RecebID]],recebArgamassa[[RecebID]:[Insumo]],4,FALSE)</f>
        <v>Argamassa Estabilizada</v>
      </c>
      <c r="F309" s="1" t="s">
        <v>247</v>
      </c>
      <c r="G309" s="1" t="s">
        <v>256</v>
      </c>
      <c r="H309" s="1">
        <v>3</v>
      </c>
      <c r="I309" s="1" t="s">
        <v>7</v>
      </c>
      <c r="K309" s="2">
        <v>1</v>
      </c>
      <c r="L309" s="23">
        <f>IFERROR(VLOOKUP(consArgamassa[[#This Row],[Serviço]],Tabela4[],5,FALSE),"")</f>
        <v>0</v>
      </c>
      <c r="M309" s="22">
        <f>VLOOKUP(consArgamassa[[#This Row],[RecebID]],recebArgamassa[],14,FALSE)</f>
        <v>464.75</v>
      </c>
      <c r="N309" s="22">
        <f>IFERROR(VLOOKUP(consArgamassa[[#This Row],[Serviço]],Tabela4[],6,FALSE),"")</f>
        <v>500</v>
      </c>
      <c r="O309" s="1" t="s">
        <v>274</v>
      </c>
      <c r="P309" s="13">
        <v>36892</v>
      </c>
    </row>
    <row r="310" spans="1:16" x14ac:dyDescent="0.25">
      <c r="A310" s="1" t="s">
        <v>231</v>
      </c>
      <c r="B310" s="7" t="str">
        <f>CONCATENATE("CNSARG",TEXT(consArgamassa[[#This Row],[Ordem]],"00000"))</f>
        <v>CNSARG00655</v>
      </c>
      <c r="C310" s="7">
        <v>655</v>
      </c>
      <c r="D310" s="10">
        <f>VLOOKUP(consArgamassa[[#This Row],[RecebID]],recebArgamassa[[RecebID]:[Insumo]],3,FALSE)</f>
        <v>44197</v>
      </c>
      <c r="E310" s="7" t="str">
        <f>VLOOKUP(consArgamassa[[#This Row],[RecebID]],recebArgamassa[[RecebID]:[Insumo]],4,FALSE)</f>
        <v>Argamassa Estabilizada</v>
      </c>
      <c r="F310" s="1" t="s">
        <v>250</v>
      </c>
      <c r="G310" s="1" t="s">
        <v>270</v>
      </c>
      <c r="H310" s="1" t="s">
        <v>297</v>
      </c>
      <c r="I310" s="1" t="s">
        <v>10</v>
      </c>
      <c r="J310" s="1" t="s">
        <v>246</v>
      </c>
      <c r="K310" s="2">
        <v>1</v>
      </c>
      <c r="L310" s="23">
        <f>IFERROR(VLOOKUP(consArgamassa[[#This Row],[Serviço]],Tabela4[],5,FALSE),"")</f>
        <v>0</v>
      </c>
      <c r="M310" s="22">
        <f>VLOOKUP(consArgamassa[[#This Row],[RecebID]],recebArgamassa[],14,FALSE)</f>
        <v>464.75</v>
      </c>
      <c r="N310" s="22">
        <f>IFERROR(VLOOKUP(consArgamassa[[#This Row],[Serviço]],Tabela4[],6,FALSE),"")</f>
        <v>500</v>
      </c>
      <c r="O310" s="1" t="s">
        <v>274</v>
      </c>
      <c r="P310" s="13">
        <v>36892</v>
      </c>
    </row>
    <row r="311" spans="1:16" x14ac:dyDescent="0.25">
      <c r="A311" s="1" t="s">
        <v>232</v>
      </c>
      <c r="B311" s="7" t="str">
        <f>CONCATENATE("CNSARG",TEXT(consArgamassa[[#This Row],[Ordem]],"00000"))</f>
        <v>CNSARG00656</v>
      </c>
      <c r="C311" s="7">
        <v>656</v>
      </c>
      <c r="D311" s="10">
        <f>VLOOKUP(consArgamassa[[#This Row],[RecebID]],recebArgamassa[[RecebID]:[Insumo]],3,FALSE)</f>
        <v>45076.125</v>
      </c>
      <c r="E311" s="7" t="str">
        <f>VLOOKUP(consArgamassa[[#This Row],[RecebID]],recebArgamassa[[RecebID]:[Insumo]],4,FALSE)</f>
        <v>Argamassa Estabilizada</v>
      </c>
      <c r="F311" s="1" t="s">
        <v>250</v>
      </c>
      <c r="G311" s="1" t="s">
        <v>270</v>
      </c>
      <c r="H311" s="1" t="s">
        <v>297</v>
      </c>
      <c r="I311" s="1" t="s">
        <v>10</v>
      </c>
      <c r="J311" s="1" t="s">
        <v>246</v>
      </c>
      <c r="K311" s="2">
        <v>1</v>
      </c>
      <c r="L311" s="23">
        <f>IFERROR(VLOOKUP(consArgamassa[[#This Row],[Serviço]],Tabela4[],5,FALSE),"")</f>
        <v>0</v>
      </c>
      <c r="M311" s="22">
        <f>VLOOKUP(consArgamassa[[#This Row],[RecebID]],recebArgamassa[],14,FALSE)</f>
        <v>464.75</v>
      </c>
      <c r="N311" s="22">
        <f>IFERROR(VLOOKUP(consArgamassa[[#This Row],[Serviço]],Tabela4[],6,FALSE),"")</f>
        <v>500</v>
      </c>
      <c r="O311" s="1" t="s">
        <v>274</v>
      </c>
      <c r="P311" s="13">
        <v>36892</v>
      </c>
    </row>
    <row r="312" spans="1:16" x14ac:dyDescent="0.25">
      <c r="A312" s="1" t="s">
        <v>233</v>
      </c>
      <c r="B312" s="7" t="str">
        <f>CONCATENATE("CNSARG",TEXT(consArgamassa[[#This Row],[Ordem]],"00000"))</f>
        <v>CNSARG00657</v>
      </c>
      <c r="C312" s="7">
        <v>657</v>
      </c>
      <c r="D312" s="10">
        <f>VLOOKUP(consArgamassa[[#This Row],[RecebID]],recebArgamassa[[RecebID]:[Insumo]],3,FALSE)</f>
        <v>44197</v>
      </c>
      <c r="E312" s="7" t="str">
        <f>VLOOKUP(consArgamassa[[#This Row],[RecebID]],recebArgamassa[[RecebID]:[Insumo]],4,FALSE)</f>
        <v>Argamassa Estabilizada</v>
      </c>
      <c r="F312" s="1" t="s">
        <v>247</v>
      </c>
      <c r="G312" s="1" t="s">
        <v>256</v>
      </c>
      <c r="H312" s="1">
        <v>3</v>
      </c>
      <c r="I312" s="1" t="s">
        <v>10</v>
      </c>
      <c r="K312" s="2">
        <v>1</v>
      </c>
      <c r="L312" s="23">
        <f>IFERROR(VLOOKUP(consArgamassa[[#This Row],[Serviço]],Tabela4[],5,FALSE),"")</f>
        <v>0</v>
      </c>
      <c r="M312" s="22">
        <f>VLOOKUP(consArgamassa[[#This Row],[RecebID]],recebArgamassa[],14,FALSE)</f>
        <v>464.75</v>
      </c>
      <c r="N312" s="22">
        <f>IFERROR(VLOOKUP(consArgamassa[[#This Row],[Serviço]],Tabela4[],6,FALSE),"")</f>
        <v>500</v>
      </c>
      <c r="O312" s="1" t="s">
        <v>274</v>
      </c>
      <c r="P312" s="13">
        <v>36892</v>
      </c>
    </row>
    <row r="313" spans="1:16" x14ac:dyDescent="0.25">
      <c r="A313" s="1" t="s">
        <v>234</v>
      </c>
      <c r="B313" s="7" t="str">
        <f>CONCATENATE("CNSARG",TEXT(consArgamassa[[#This Row],[Ordem]],"00000"))</f>
        <v>CNSARG00658</v>
      </c>
      <c r="C313" s="7">
        <v>658</v>
      </c>
      <c r="D313" s="10">
        <f>VLOOKUP(consArgamassa[[#This Row],[RecebID]],recebArgamassa[[RecebID]:[Insumo]],3,FALSE)</f>
        <v>45077.125</v>
      </c>
      <c r="E313" s="7" t="str">
        <f>VLOOKUP(consArgamassa[[#This Row],[RecebID]],recebArgamassa[[RecebID]:[Insumo]],4,FALSE)</f>
        <v>Argamassa Estabilizada</v>
      </c>
      <c r="F313" s="1" t="s">
        <v>247</v>
      </c>
      <c r="G313" s="1" t="s">
        <v>256</v>
      </c>
      <c r="H313" s="1">
        <v>3</v>
      </c>
      <c r="I313" s="1" t="s">
        <v>10</v>
      </c>
      <c r="K313" s="2">
        <v>1</v>
      </c>
      <c r="L313" s="23">
        <f>IFERROR(VLOOKUP(consArgamassa[[#This Row],[Serviço]],Tabela4[],5,FALSE),"")</f>
        <v>0</v>
      </c>
      <c r="M313" s="22">
        <f>VLOOKUP(consArgamassa[[#This Row],[RecebID]],recebArgamassa[],14,FALSE)</f>
        <v>464.75</v>
      </c>
      <c r="N313" s="22">
        <f>IFERROR(VLOOKUP(consArgamassa[[#This Row],[Serviço]],Tabela4[],6,FALSE),"")</f>
        <v>500</v>
      </c>
      <c r="O313" s="1" t="s">
        <v>274</v>
      </c>
      <c r="P313" s="13">
        <v>36892</v>
      </c>
    </row>
    <row r="314" spans="1:16" x14ac:dyDescent="0.25">
      <c r="A314" s="1" t="s">
        <v>235</v>
      </c>
      <c r="B314" s="7" t="str">
        <f>CONCATENATE("CNSARG",TEXT(consArgamassa[[#This Row],[Ordem]],"00000"))</f>
        <v>CNSARG00659</v>
      </c>
      <c r="C314" s="7">
        <v>659</v>
      </c>
      <c r="D314" s="10">
        <f>VLOOKUP(consArgamassa[[#This Row],[RecebID]],recebArgamassa[[RecebID]:[Insumo]],3,FALSE)</f>
        <v>45082.125</v>
      </c>
      <c r="E314" s="7" t="str">
        <f>VLOOKUP(consArgamassa[[#This Row],[RecebID]],recebArgamassa[[RecebID]:[Insumo]],4,FALSE)</f>
        <v>Argamassa Estabilizada</v>
      </c>
      <c r="F314" s="1" t="s">
        <v>248</v>
      </c>
      <c r="G314" s="1" t="s">
        <v>256</v>
      </c>
      <c r="H314" s="1">
        <v>3</v>
      </c>
      <c r="I314" s="1" t="s">
        <v>238</v>
      </c>
      <c r="J314" s="1" t="s">
        <v>238</v>
      </c>
      <c r="K314" s="2">
        <v>1</v>
      </c>
      <c r="L314" s="23">
        <f>IFERROR(VLOOKUP(consArgamassa[[#This Row],[Serviço]],Tabela4[],5,FALSE),"")</f>
        <v>1.98</v>
      </c>
      <c r="M314" s="22">
        <f>VLOOKUP(consArgamassa[[#This Row],[RecebID]],recebArgamassa[],14,FALSE)</f>
        <v>464.75</v>
      </c>
      <c r="N314" s="22">
        <f>IFERROR(VLOOKUP(consArgamassa[[#This Row],[Serviço]],Tabela4[],6,FALSE),"")</f>
        <v>500</v>
      </c>
      <c r="O314" s="1" t="s">
        <v>274</v>
      </c>
      <c r="P314" s="13">
        <v>36892</v>
      </c>
    </row>
    <row r="315" spans="1:16" x14ac:dyDescent="0.25">
      <c r="A315" s="1" t="s">
        <v>236</v>
      </c>
      <c r="B315" s="7" t="str">
        <f>CONCATENATE("CNSARG",TEXT(consArgamassa[[#This Row],[Ordem]],"00000"))</f>
        <v>CNSARG00660</v>
      </c>
      <c r="C315" s="7">
        <v>660</v>
      </c>
      <c r="D315" s="10">
        <f>VLOOKUP(consArgamassa[[#This Row],[RecebID]],recebArgamassa[[RecebID]:[Insumo]],3,FALSE)</f>
        <v>45082.125</v>
      </c>
      <c r="E315" s="7" t="str">
        <f>VLOOKUP(consArgamassa[[#This Row],[RecebID]],recebArgamassa[[RecebID]:[Insumo]],4,FALSE)</f>
        <v>Argamassa Estabilizada</v>
      </c>
      <c r="F315" s="1" t="s">
        <v>239</v>
      </c>
      <c r="G315" s="1" t="s">
        <v>270</v>
      </c>
      <c r="H315" s="1" t="s">
        <v>297</v>
      </c>
      <c r="I315" s="1" t="s">
        <v>10</v>
      </c>
      <c r="J315" s="1" t="s">
        <v>239</v>
      </c>
      <c r="K315" s="2">
        <v>1.5</v>
      </c>
      <c r="L315" s="23">
        <f>IFERROR(VLOOKUP(consArgamassa[[#This Row],[Serviço]],Tabela4[],5,FALSE),"")</f>
        <v>0</v>
      </c>
      <c r="M315" s="22">
        <f>VLOOKUP(consArgamassa[[#This Row],[RecebID]],recebArgamassa[],14,FALSE)</f>
        <v>464.75</v>
      </c>
      <c r="N315" s="22">
        <f>IFERROR(VLOOKUP(consArgamassa[[#This Row],[Serviço]],Tabela4[],6,FALSE),"")</f>
        <v>500</v>
      </c>
      <c r="O315" s="1" t="s">
        <v>274</v>
      </c>
      <c r="P315" s="13">
        <v>36892</v>
      </c>
    </row>
    <row r="316" spans="1:16" x14ac:dyDescent="0.25">
      <c r="A316" s="1" t="s">
        <v>186</v>
      </c>
      <c r="B316" s="7" t="str">
        <f>CONCATENATE("CNSARG",TEXT(consArgamassa[[#This Row],[Ordem]],"00000"))</f>
        <v>CNSARG00829</v>
      </c>
      <c r="C316" s="7">
        <v>829</v>
      </c>
      <c r="D316" s="10">
        <f>VLOOKUP(consArgamassa[[#This Row],[RecebID]],recebArgamassa[[RecebID]:[Insumo]],3,FALSE)</f>
        <v>44999.125</v>
      </c>
      <c r="E316" s="7" t="str">
        <f>VLOOKUP(consArgamassa[[#This Row],[RecebID]],recebArgamassa[[RecebID]:[Insumo]],4,FALSE)</f>
        <v>Argamassa Estabilizada</v>
      </c>
      <c r="F316" s="1" t="s">
        <v>247</v>
      </c>
      <c r="G316" s="1" t="s">
        <v>256</v>
      </c>
      <c r="H316" s="1">
        <v>5</v>
      </c>
      <c r="I316" s="1" t="s">
        <v>9</v>
      </c>
      <c r="K316" s="2">
        <v>0.5</v>
      </c>
      <c r="L316" s="23">
        <f>IFERROR(VLOOKUP(consArgamassa[[#This Row],[Serviço]],Tabela4[],5,FALSE),"")</f>
        <v>0</v>
      </c>
      <c r="M316" s="22">
        <f>VLOOKUP(consArgamassa[[#This Row],[RecebID]],recebArgamassa[],14,FALSE)</f>
        <v>464.75</v>
      </c>
      <c r="N316" s="22">
        <f>IFERROR(VLOOKUP(consArgamassa[[#This Row],[Serviço]],Tabela4[],6,FALSE),"")</f>
        <v>500</v>
      </c>
      <c r="O316" s="1" t="s">
        <v>274</v>
      </c>
      <c r="P316" s="13">
        <v>36892</v>
      </c>
    </row>
    <row r="317" spans="1:16" x14ac:dyDescent="0.25">
      <c r="A317" s="1" t="s">
        <v>187</v>
      </c>
      <c r="B317" s="7" t="str">
        <f>CONCATENATE("CNSARG",TEXT(consArgamassa[[#This Row],[Ordem]],"00000"))</f>
        <v>CNSARG00830</v>
      </c>
      <c r="C317" s="7">
        <v>830</v>
      </c>
      <c r="D317" s="10">
        <f>VLOOKUP(consArgamassa[[#This Row],[RecebID]],recebArgamassa[[RecebID]:[Insumo]],3,FALSE)</f>
        <v>45000.125</v>
      </c>
      <c r="E317" s="7" t="str">
        <f>VLOOKUP(consArgamassa[[#This Row],[RecebID]],recebArgamassa[[RecebID]:[Insumo]],4,FALSE)</f>
        <v>Argamassa Estabilizada</v>
      </c>
      <c r="F317" s="1" t="s">
        <v>247</v>
      </c>
      <c r="G317" s="1" t="s">
        <v>255</v>
      </c>
      <c r="H317" s="1">
        <v>5</v>
      </c>
      <c r="I317" s="1" t="s">
        <v>8</v>
      </c>
      <c r="K317" s="2">
        <v>1</v>
      </c>
      <c r="L317" s="23">
        <f>IFERROR(VLOOKUP(consArgamassa[[#This Row],[Serviço]],Tabela4[],5,FALSE),"")</f>
        <v>0</v>
      </c>
      <c r="M317" s="22">
        <f>VLOOKUP(consArgamassa[[#This Row],[RecebID]],recebArgamassa[],14,FALSE)</f>
        <v>464.75</v>
      </c>
      <c r="N317" s="22">
        <f>IFERROR(VLOOKUP(consArgamassa[[#This Row],[Serviço]],Tabela4[],6,FALSE),"")</f>
        <v>500</v>
      </c>
      <c r="O317" s="1" t="s">
        <v>274</v>
      </c>
      <c r="P317" s="13">
        <v>36892</v>
      </c>
    </row>
    <row r="318" spans="1:16" x14ac:dyDescent="0.25">
      <c r="A318" s="1" t="s">
        <v>189</v>
      </c>
      <c r="B318" s="7" t="str">
        <f>CONCATENATE("CNSARG",TEXT(consArgamassa[[#This Row],[Ordem]],"00000"))</f>
        <v>CNSARG00832</v>
      </c>
      <c r="C318" s="7">
        <v>832</v>
      </c>
      <c r="D318" s="10">
        <f>VLOOKUP(consArgamassa[[#This Row],[RecebID]],recebArgamassa[[RecebID]:[Insumo]],3,FALSE)</f>
        <v>45002.125</v>
      </c>
      <c r="E318" s="7" t="str">
        <f>VLOOKUP(consArgamassa[[#This Row],[RecebID]],recebArgamassa[[RecebID]:[Insumo]],4,FALSE)</f>
        <v>Argamassa Estabilizada</v>
      </c>
      <c r="F318" s="1" t="s">
        <v>264</v>
      </c>
      <c r="G318" s="1" t="s">
        <v>255</v>
      </c>
      <c r="H318" s="1">
        <v>3</v>
      </c>
      <c r="I318" s="1" t="s">
        <v>8</v>
      </c>
      <c r="K318" s="2">
        <v>4</v>
      </c>
      <c r="L318" s="23">
        <f>IFERROR(VLOOKUP(consArgamassa[[#This Row],[Serviço]],Tabela4[],5,FALSE),"")</f>
        <v>1.3352499999999998</v>
      </c>
      <c r="M318" s="22">
        <f>VLOOKUP(consArgamassa[[#This Row],[RecebID]],recebArgamassa[],14,FALSE)</f>
        <v>464.75</v>
      </c>
      <c r="N318" s="22">
        <f>IFERROR(VLOOKUP(consArgamassa[[#This Row],[Serviço]],Tabela4[],6,FALSE),"")</f>
        <v>500</v>
      </c>
      <c r="O318" s="1" t="s">
        <v>274</v>
      </c>
      <c r="P318" s="13">
        <v>36892</v>
      </c>
    </row>
    <row r="319" spans="1:16" x14ac:dyDescent="0.25">
      <c r="A319" s="1" t="s">
        <v>190</v>
      </c>
      <c r="B319" s="7" t="str">
        <f>CONCATENATE("CNSARG",TEXT(consArgamassa[[#This Row],[Ordem]],"00000"))</f>
        <v>CNSARG00833</v>
      </c>
      <c r="C319" s="7">
        <v>833</v>
      </c>
      <c r="D319" s="10">
        <f>VLOOKUP(consArgamassa[[#This Row],[RecebID]],recebArgamassa[[RecebID]:[Insumo]],3,FALSE)</f>
        <v>45005.125</v>
      </c>
      <c r="E319" s="7" t="str">
        <f>VLOOKUP(consArgamassa[[#This Row],[RecebID]],recebArgamassa[[RecebID]:[Insumo]],4,FALSE)</f>
        <v>Argamassa Estabilizada</v>
      </c>
      <c r="F319" s="1" t="s">
        <v>264</v>
      </c>
      <c r="G319" s="1" t="s">
        <v>255</v>
      </c>
      <c r="H319" s="1">
        <v>3</v>
      </c>
      <c r="I319" s="1" t="s">
        <v>7</v>
      </c>
      <c r="K319" s="2">
        <v>4</v>
      </c>
      <c r="L319" s="23">
        <f>IFERROR(VLOOKUP(consArgamassa[[#This Row],[Serviço]],Tabela4[],5,FALSE),"")</f>
        <v>1.3352499999999998</v>
      </c>
      <c r="M319" s="22">
        <f>VLOOKUP(consArgamassa[[#This Row],[RecebID]],recebArgamassa[],14,FALSE)</f>
        <v>464.75</v>
      </c>
      <c r="N319" s="22">
        <f>IFERROR(VLOOKUP(consArgamassa[[#This Row],[Serviço]],Tabela4[],6,FALSE),"")</f>
        <v>500</v>
      </c>
      <c r="O319" s="1" t="s">
        <v>274</v>
      </c>
      <c r="P319" s="13">
        <v>36892</v>
      </c>
    </row>
    <row r="320" spans="1:16" x14ac:dyDescent="0.25">
      <c r="A320" s="1" t="s">
        <v>191</v>
      </c>
      <c r="B320" s="7" t="str">
        <f>CONCATENATE("CNSARG",TEXT(consArgamassa[[#This Row],[Ordem]],"00000"))</f>
        <v>CNSARG00834</v>
      </c>
      <c r="C320" s="7">
        <v>834</v>
      </c>
      <c r="D320" s="10">
        <f>VLOOKUP(consArgamassa[[#This Row],[RecebID]],recebArgamassa[[RecebID]:[Insumo]],3,FALSE)</f>
        <v>45006.125</v>
      </c>
      <c r="E320" s="7" t="str">
        <f>VLOOKUP(consArgamassa[[#This Row],[RecebID]],recebArgamassa[[RecebID]:[Insumo]],4,FALSE)</f>
        <v>Argamassa Estabilizada</v>
      </c>
      <c r="F320" s="1" t="s">
        <v>250</v>
      </c>
      <c r="G320" s="1" t="s">
        <v>270</v>
      </c>
      <c r="H320" s="1" t="s">
        <v>297</v>
      </c>
      <c r="I320" s="1" t="s">
        <v>10</v>
      </c>
      <c r="J320" s="1" t="s">
        <v>246</v>
      </c>
      <c r="K320" s="2">
        <v>1</v>
      </c>
      <c r="L320" s="23">
        <f>IFERROR(VLOOKUP(consArgamassa[[#This Row],[Serviço]],Tabela4[],5,FALSE),"")</f>
        <v>0</v>
      </c>
      <c r="M320" s="22">
        <f>VLOOKUP(consArgamassa[[#This Row],[RecebID]],recebArgamassa[],14,FALSE)</f>
        <v>464.75</v>
      </c>
      <c r="N320" s="22">
        <f>IFERROR(VLOOKUP(consArgamassa[[#This Row],[Serviço]],Tabela4[],6,FALSE),"")</f>
        <v>500</v>
      </c>
      <c r="O320" s="1" t="s">
        <v>274</v>
      </c>
      <c r="P320" s="13">
        <v>36892</v>
      </c>
    </row>
    <row r="321" spans="1:16" x14ac:dyDescent="0.25">
      <c r="A321" s="1" t="s">
        <v>192</v>
      </c>
      <c r="B321" s="7" t="str">
        <f>CONCATENATE("CNSARG",TEXT(consArgamassa[[#This Row],[Ordem]],"00000"))</f>
        <v>CNSARG00835</v>
      </c>
      <c r="C321" s="7">
        <v>835</v>
      </c>
      <c r="D321" s="10">
        <f>VLOOKUP(consArgamassa[[#This Row],[RecebID]],recebArgamassa[[RecebID]:[Insumo]],3,FALSE)</f>
        <v>45007.125</v>
      </c>
      <c r="E321" s="7" t="str">
        <f>VLOOKUP(consArgamassa[[#This Row],[RecebID]],recebArgamassa[[RecebID]:[Insumo]],4,FALSE)</f>
        <v>Argamassa Estabilizada</v>
      </c>
      <c r="F321" s="1" t="s">
        <v>250</v>
      </c>
      <c r="G321" s="1" t="s">
        <v>270</v>
      </c>
      <c r="H321" s="1" t="s">
        <v>297</v>
      </c>
      <c r="I321" s="1" t="s">
        <v>10</v>
      </c>
      <c r="J321" s="1" t="s">
        <v>246</v>
      </c>
      <c r="K321" s="2">
        <v>1</v>
      </c>
      <c r="L321" s="23">
        <f>IFERROR(VLOOKUP(consArgamassa[[#This Row],[Serviço]],Tabela4[],5,FALSE),"")</f>
        <v>0</v>
      </c>
      <c r="M321" s="22">
        <f>VLOOKUP(consArgamassa[[#This Row],[RecebID]],recebArgamassa[],14,FALSE)</f>
        <v>464.75</v>
      </c>
      <c r="N321" s="22">
        <f>IFERROR(VLOOKUP(consArgamassa[[#This Row],[Serviço]],Tabela4[],6,FALSE),"")</f>
        <v>500</v>
      </c>
      <c r="O321" s="1" t="s">
        <v>274</v>
      </c>
      <c r="P321" s="13">
        <v>36892</v>
      </c>
    </row>
    <row r="322" spans="1:16" x14ac:dyDescent="0.25">
      <c r="A322" s="1" t="s">
        <v>193</v>
      </c>
      <c r="B322" s="7" t="str">
        <f>CONCATENATE("CNSARG",TEXT(consArgamassa[[#This Row],[Ordem]],"00000"))</f>
        <v>CNSARG00836</v>
      </c>
      <c r="C322" s="7">
        <v>836</v>
      </c>
      <c r="D322" s="10">
        <f>VLOOKUP(consArgamassa[[#This Row],[RecebID]],recebArgamassa[[RecebID]:[Insumo]],3,FALSE)</f>
        <v>45008.125</v>
      </c>
      <c r="E322" s="7" t="str">
        <f>VLOOKUP(consArgamassa[[#This Row],[RecebID]],recebArgamassa[[RecebID]:[Insumo]],4,FALSE)</f>
        <v>Argamassa Estabilizada</v>
      </c>
      <c r="F322" s="1" t="s">
        <v>250</v>
      </c>
      <c r="G322" s="1" t="s">
        <v>270</v>
      </c>
      <c r="H322" s="1" t="s">
        <v>297</v>
      </c>
      <c r="I322" s="1" t="s">
        <v>10</v>
      </c>
      <c r="J322" s="1" t="s">
        <v>246</v>
      </c>
      <c r="K322" s="2">
        <v>1</v>
      </c>
      <c r="L322" s="23">
        <f>IFERROR(VLOOKUP(consArgamassa[[#This Row],[Serviço]],Tabela4[],5,FALSE),"")</f>
        <v>0</v>
      </c>
      <c r="M322" s="22">
        <f>VLOOKUP(consArgamassa[[#This Row],[RecebID]],recebArgamassa[],14,FALSE)</f>
        <v>464.75</v>
      </c>
      <c r="N322" s="22">
        <f>IFERROR(VLOOKUP(consArgamassa[[#This Row],[Serviço]],Tabela4[],6,FALSE),"")</f>
        <v>500</v>
      </c>
      <c r="O322" s="1" t="s">
        <v>274</v>
      </c>
      <c r="P322" s="13">
        <v>36892</v>
      </c>
    </row>
    <row r="323" spans="1:16" x14ac:dyDescent="0.25">
      <c r="A323" s="1" t="s">
        <v>195</v>
      </c>
      <c r="B323" s="7" t="str">
        <f>CONCATENATE("CNSARG",TEXT(consArgamassa[[#This Row],[Ordem]],"00000"))</f>
        <v>CNSARG00838</v>
      </c>
      <c r="C323" s="7">
        <v>838</v>
      </c>
      <c r="D323" s="10">
        <f>VLOOKUP(consArgamassa[[#This Row],[RecebID]],recebArgamassa[[RecebID]:[Insumo]],3,FALSE)</f>
        <v>45012.125</v>
      </c>
      <c r="E323" s="7" t="str">
        <f>VLOOKUP(consArgamassa[[#This Row],[RecebID]],recebArgamassa[[RecebID]:[Insumo]],4,FALSE)</f>
        <v>Argamassa Estabilizada</v>
      </c>
      <c r="F323" s="1" t="s">
        <v>250</v>
      </c>
      <c r="G323" s="1" t="s">
        <v>270</v>
      </c>
      <c r="H323" s="1" t="s">
        <v>296</v>
      </c>
      <c r="I323" s="1" t="s">
        <v>10</v>
      </c>
      <c r="J323" s="1" t="s">
        <v>240</v>
      </c>
      <c r="K323" s="2">
        <v>1</v>
      </c>
      <c r="L323" s="23">
        <f>IFERROR(VLOOKUP(consArgamassa[[#This Row],[Serviço]],Tabela4[],5,FALSE),"")</f>
        <v>0</v>
      </c>
      <c r="M323" s="22">
        <f>VLOOKUP(consArgamassa[[#This Row],[RecebID]],recebArgamassa[],14,FALSE)</f>
        <v>464.75</v>
      </c>
      <c r="N323" s="22">
        <f>IFERROR(VLOOKUP(consArgamassa[[#This Row],[Serviço]],Tabela4[],6,FALSE),"")</f>
        <v>500</v>
      </c>
      <c r="O323" s="1" t="s">
        <v>274</v>
      </c>
      <c r="P323" s="13">
        <v>36892</v>
      </c>
    </row>
    <row r="324" spans="1:16" x14ac:dyDescent="0.25">
      <c r="A324" s="1" t="s">
        <v>196</v>
      </c>
      <c r="B324" s="7" t="str">
        <f>CONCATENATE("CNSARG",TEXT(consArgamassa[[#This Row],[Ordem]],"00000"))</f>
        <v>CNSARG00839</v>
      </c>
      <c r="C324" s="7">
        <v>839</v>
      </c>
      <c r="D324" s="10">
        <f>VLOOKUP(consArgamassa[[#This Row],[RecebID]],recebArgamassa[[RecebID]:[Insumo]],3,FALSE)</f>
        <v>44197</v>
      </c>
      <c r="E324" s="7" t="str">
        <f>VLOOKUP(consArgamassa[[#This Row],[RecebID]],recebArgamassa[[RecebID]:[Insumo]],4,FALSE)</f>
        <v>Argamassa Estabilizada</v>
      </c>
      <c r="F324" s="1" t="s">
        <v>239</v>
      </c>
      <c r="G324" s="1" t="s">
        <v>270</v>
      </c>
      <c r="H324" s="1" t="s">
        <v>297</v>
      </c>
      <c r="I324" s="1" t="s">
        <v>10</v>
      </c>
      <c r="J324" s="1" t="s">
        <v>239</v>
      </c>
      <c r="K324" s="2">
        <v>1</v>
      </c>
      <c r="L324" s="23">
        <f>IFERROR(VLOOKUP(consArgamassa[[#This Row],[Serviço]],Tabela4[],5,FALSE),"")</f>
        <v>0</v>
      </c>
      <c r="M324" s="22">
        <f>VLOOKUP(consArgamassa[[#This Row],[RecebID]],recebArgamassa[],14,FALSE)</f>
        <v>464.75</v>
      </c>
      <c r="N324" s="22">
        <f>IFERROR(VLOOKUP(consArgamassa[[#This Row],[Serviço]],Tabela4[],6,FALSE),"")</f>
        <v>500</v>
      </c>
      <c r="O324" s="1" t="s">
        <v>274</v>
      </c>
      <c r="P324" s="13">
        <v>36892</v>
      </c>
    </row>
    <row r="325" spans="1:16" x14ac:dyDescent="0.25">
      <c r="A325" s="1" t="s">
        <v>197</v>
      </c>
      <c r="B325" s="7" t="str">
        <f>CONCATENATE("CNSARG",TEXT(consArgamassa[[#This Row],[Ordem]],"00000"))</f>
        <v>CNSARG00840</v>
      </c>
      <c r="C325" s="7">
        <v>840</v>
      </c>
      <c r="D325" s="10">
        <f>VLOOKUP(consArgamassa[[#This Row],[RecebID]],recebArgamassa[[RecebID]:[Insumo]],3,FALSE)</f>
        <v>45013.125</v>
      </c>
      <c r="E325" s="7" t="str">
        <f>VLOOKUP(consArgamassa[[#This Row],[RecebID]],recebArgamassa[[RecebID]:[Insumo]],4,FALSE)</f>
        <v>Argamassa Estabilizada</v>
      </c>
      <c r="F325" s="1" t="s">
        <v>239</v>
      </c>
      <c r="G325" s="1" t="s">
        <v>270</v>
      </c>
      <c r="H325" s="1" t="s">
        <v>297</v>
      </c>
      <c r="I325" s="1" t="s">
        <v>10</v>
      </c>
      <c r="J325" s="1" t="s">
        <v>239</v>
      </c>
      <c r="K325" s="2">
        <v>1</v>
      </c>
      <c r="L325" s="23">
        <f>IFERROR(VLOOKUP(consArgamassa[[#This Row],[Serviço]],Tabela4[],5,FALSE),"")</f>
        <v>0</v>
      </c>
      <c r="M325" s="22">
        <f>VLOOKUP(consArgamassa[[#This Row],[RecebID]],recebArgamassa[],14,FALSE)</f>
        <v>464.75</v>
      </c>
      <c r="N325" s="22">
        <f>IFERROR(VLOOKUP(consArgamassa[[#This Row],[Serviço]],Tabela4[],6,FALSE),"")</f>
        <v>500</v>
      </c>
      <c r="O325" s="1" t="s">
        <v>274</v>
      </c>
      <c r="P325" s="13">
        <v>36892</v>
      </c>
    </row>
    <row r="326" spans="1:16" x14ac:dyDescent="0.25">
      <c r="A326" s="1" t="s">
        <v>198</v>
      </c>
      <c r="B326" s="7" t="str">
        <f>CONCATENATE("CNSARG",TEXT(consArgamassa[[#This Row],[Ordem]],"00000"))</f>
        <v>CNSARG00842</v>
      </c>
      <c r="C326" s="7">
        <v>842</v>
      </c>
      <c r="D326" s="10">
        <f>VLOOKUP(consArgamassa[[#This Row],[RecebID]],recebArgamassa[[RecebID]:[Insumo]],3,FALSE)</f>
        <v>45014.125</v>
      </c>
      <c r="E326" s="7" t="str">
        <f>VLOOKUP(consArgamassa[[#This Row],[RecebID]],recebArgamassa[[RecebID]:[Insumo]],4,FALSE)</f>
        <v>Argamassa Estabilizada</v>
      </c>
      <c r="F326" s="1" t="s">
        <v>264</v>
      </c>
      <c r="G326" s="1" t="s">
        <v>256</v>
      </c>
      <c r="H326" s="1">
        <v>3</v>
      </c>
      <c r="I326" s="1" t="s">
        <v>7</v>
      </c>
      <c r="K326" s="2">
        <v>3</v>
      </c>
      <c r="L326" s="23">
        <f>IFERROR(VLOOKUP(consArgamassa[[#This Row],[Serviço]],Tabela4[],5,FALSE),"")</f>
        <v>1.3352499999999998</v>
      </c>
      <c r="M326" s="22">
        <f>VLOOKUP(consArgamassa[[#This Row],[RecebID]],recebArgamassa[],14,FALSE)</f>
        <v>464.75</v>
      </c>
      <c r="N326" s="22">
        <f>IFERROR(VLOOKUP(consArgamassa[[#This Row],[Serviço]],Tabela4[],6,FALSE),"")</f>
        <v>500</v>
      </c>
      <c r="O326" s="1" t="s">
        <v>274</v>
      </c>
      <c r="P326" s="13">
        <v>36892</v>
      </c>
    </row>
    <row r="327" spans="1:16" x14ac:dyDescent="0.25">
      <c r="A327" s="1" t="s">
        <v>199</v>
      </c>
      <c r="B327" s="7" t="str">
        <f>CONCATENATE("CNSARG",TEXT(consArgamassa[[#This Row],[Ordem]],"00000"))</f>
        <v>CNSARG00843</v>
      </c>
      <c r="C327" s="7">
        <v>843</v>
      </c>
      <c r="D327" s="10">
        <f>VLOOKUP(consArgamassa[[#This Row],[RecebID]],recebArgamassa[[RecebID]:[Insumo]],3,FALSE)</f>
        <v>45015.125</v>
      </c>
      <c r="E327" s="7" t="str">
        <f>VLOOKUP(consArgamassa[[#This Row],[RecebID]],recebArgamassa[[RecebID]:[Insumo]],4,FALSE)</f>
        <v>Argamassa Estabilizada</v>
      </c>
      <c r="F327" s="1" t="s">
        <v>264</v>
      </c>
      <c r="G327" s="1" t="s">
        <v>256</v>
      </c>
      <c r="H327" s="1">
        <v>3</v>
      </c>
      <c r="I327" s="1" t="s">
        <v>10</v>
      </c>
      <c r="K327" s="2">
        <v>4</v>
      </c>
      <c r="L327" s="23">
        <f>IFERROR(VLOOKUP(consArgamassa[[#This Row],[Serviço]],Tabela4[],5,FALSE),"")</f>
        <v>1.3352499999999998</v>
      </c>
      <c r="M327" s="22">
        <f>VLOOKUP(consArgamassa[[#This Row],[RecebID]],recebArgamassa[],14,FALSE)</f>
        <v>464.75</v>
      </c>
      <c r="N327" s="22">
        <f>IFERROR(VLOOKUP(consArgamassa[[#This Row],[Serviço]],Tabela4[],6,FALSE),"")</f>
        <v>500</v>
      </c>
      <c r="O327" s="1" t="s">
        <v>274</v>
      </c>
      <c r="P327" s="13">
        <v>36892</v>
      </c>
    </row>
    <row r="328" spans="1:16" x14ac:dyDescent="0.25">
      <c r="A328" s="1" t="s">
        <v>200</v>
      </c>
      <c r="B328" s="7" t="str">
        <f>CONCATENATE("CNSARG",TEXT(consArgamassa[[#This Row],[Ordem]],"00000"))</f>
        <v>CNSARG00844</v>
      </c>
      <c r="C328" s="7">
        <v>844</v>
      </c>
      <c r="D328" s="10">
        <f>VLOOKUP(consArgamassa[[#This Row],[RecebID]],recebArgamassa[[RecebID]:[Insumo]],3,FALSE)</f>
        <v>45016.125</v>
      </c>
      <c r="E328" s="7" t="str">
        <f>VLOOKUP(consArgamassa[[#This Row],[RecebID]],recebArgamassa[[RecebID]:[Insumo]],4,FALSE)</f>
        <v>Argamassa Estabilizada</v>
      </c>
      <c r="F328" s="1" t="s">
        <v>247</v>
      </c>
      <c r="G328" s="1" t="s">
        <v>256</v>
      </c>
      <c r="H328" s="1">
        <v>6</v>
      </c>
      <c r="I328" s="1" t="s">
        <v>9</v>
      </c>
      <c r="K328" s="2">
        <v>1</v>
      </c>
      <c r="L328" s="23">
        <f>IFERROR(VLOOKUP(consArgamassa[[#This Row],[Serviço]],Tabela4[],5,FALSE),"")</f>
        <v>0</v>
      </c>
      <c r="M328" s="22">
        <f>VLOOKUP(consArgamassa[[#This Row],[RecebID]],recebArgamassa[],14,FALSE)</f>
        <v>464.75</v>
      </c>
      <c r="N328" s="22">
        <f>IFERROR(VLOOKUP(consArgamassa[[#This Row],[Serviço]],Tabela4[],6,FALSE),"")</f>
        <v>500</v>
      </c>
      <c r="O328" s="1" t="s">
        <v>274</v>
      </c>
      <c r="P328" s="13">
        <v>36892</v>
      </c>
    </row>
    <row r="329" spans="1:16" x14ac:dyDescent="0.25">
      <c r="A329" s="1" t="s">
        <v>201</v>
      </c>
      <c r="B329" s="7" t="str">
        <f>CONCATENATE("CNSARG",TEXT(consArgamassa[[#This Row],[Ordem]],"00000"))</f>
        <v>CNSARG00845</v>
      </c>
      <c r="C329" s="7">
        <v>845</v>
      </c>
      <c r="D329" s="10">
        <f>VLOOKUP(consArgamassa[[#This Row],[RecebID]],recebArgamassa[[RecebID]:[Insumo]],3,FALSE)</f>
        <v>45019.125</v>
      </c>
      <c r="E329" s="7" t="str">
        <f>VLOOKUP(consArgamassa[[#This Row],[RecebID]],recebArgamassa[[RecebID]:[Insumo]],4,FALSE)</f>
        <v>Argamassa Estabilizada</v>
      </c>
      <c r="F329" s="1" t="s">
        <v>247</v>
      </c>
      <c r="G329" s="1" t="s">
        <v>256</v>
      </c>
      <c r="H329" s="1">
        <v>10</v>
      </c>
      <c r="I329" s="1" t="s">
        <v>7</v>
      </c>
      <c r="K329" s="2">
        <v>1</v>
      </c>
      <c r="L329" s="23">
        <f>IFERROR(VLOOKUP(consArgamassa[[#This Row],[Serviço]],Tabela4[],5,FALSE),"")</f>
        <v>0</v>
      </c>
      <c r="M329" s="22">
        <f>VLOOKUP(consArgamassa[[#This Row],[RecebID]],recebArgamassa[],14,FALSE)</f>
        <v>464.75</v>
      </c>
      <c r="N329" s="22">
        <f>IFERROR(VLOOKUP(consArgamassa[[#This Row],[Serviço]],Tabela4[],6,FALSE),"")</f>
        <v>500</v>
      </c>
      <c r="O329" s="1" t="s">
        <v>274</v>
      </c>
      <c r="P329" s="13">
        <v>36892</v>
      </c>
    </row>
    <row r="330" spans="1:16" x14ac:dyDescent="0.25">
      <c r="A330" s="1" t="s">
        <v>202</v>
      </c>
      <c r="B330" s="7" t="str">
        <f>CONCATENATE("CNSARG",TEXT(consArgamassa[[#This Row],[Ordem]],"00000"))</f>
        <v>CNSARG00846</v>
      </c>
      <c r="C330" s="7">
        <v>846</v>
      </c>
      <c r="D330" s="10">
        <f>VLOOKUP(consArgamassa[[#This Row],[RecebID]],recebArgamassa[[RecebID]:[Insumo]],3,FALSE)</f>
        <v>45020.125</v>
      </c>
      <c r="E330" s="7" t="str">
        <f>VLOOKUP(consArgamassa[[#This Row],[RecebID]],recebArgamassa[[RecebID]:[Insumo]],4,FALSE)</f>
        <v>Argamassa Estabilizada</v>
      </c>
      <c r="F330" s="1" t="s">
        <v>250</v>
      </c>
      <c r="G330" s="1" t="s">
        <v>270</v>
      </c>
      <c r="H330" s="1" t="s">
        <v>297</v>
      </c>
      <c r="I330" s="1" t="s">
        <v>10</v>
      </c>
      <c r="J330" s="1" t="s">
        <v>246</v>
      </c>
      <c r="K330" s="2">
        <v>1</v>
      </c>
      <c r="L330" s="23">
        <f>IFERROR(VLOOKUP(consArgamassa[[#This Row],[Serviço]],Tabela4[],5,FALSE),"")</f>
        <v>0</v>
      </c>
      <c r="M330" s="22">
        <f>VLOOKUP(consArgamassa[[#This Row],[RecebID]],recebArgamassa[],14,FALSE)</f>
        <v>464.75</v>
      </c>
      <c r="N330" s="22">
        <f>IFERROR(VLOOKUP(consArgamassa[[#This Row],[Serviço]],Tabela4[],6,FALSE),"")</f>
        <v>500</v>
      </c>
      <c r="O330" s="1" t="s">
        <v>274</v>
      </c>
      <c r="P330" s="13">
        <v>36892</v>
      </c>
    </row>
    <row r="331" spans="1:16" x14ac:dyDescent="0.25">
      <c r="A331" s="1" t="s">
        <v>204</v>
      </c>
      <c r="B331" s="7" t="str">
        <f>CONCATENATE("CNSARG",TEXT(consArgamassa[[#This Row],[Ordem]],"00000"))</f>
        <v>CNSARG00848</v>
      </c>
      <c r="C331" s="7">
        <v>848</v>
      </c>
      <c r="D331" s="10">
        <f>VLOOKUP(consArgamassa[[#This Row],[RecebID]],recebArgamassa[[RecebID]:[Insumo]],3,FALSE)</f>
        <v>45026.125</v>
      </c>
      <c r="E331" s="7" t="str">
        <f>VLOOKUP(consArgamassa[[#This Row],[RecebID]],recebArgamassa[[RecebID]:[Insumo]],4,FALSE)</f>
        <v>Argamassa Estabilizada</v>
      </c>
      <c r="F331" s="1" t="s">
        <v>264</v>
      </c>
      <c r="G331" s="1" t="s">
        <v>256</v>
      </c>
      <c r="H331" s="1">
        <v>2</v>
      </c>
      <c r="I331" s="1" t="s">
        <v>9</v>
      </c>
      <c r="K331" s="2">
        <v>3</v>
      </c>
      <c r="L331" s="23">
        <f>IFERROR(VLOOKUP(consArgamassa[[#This Row],[Serviço]],Tabela4[],5,FALSE),"")</f>
        <v>1.3352499999999998</v>
      </c>
      <c r="M331" s="22">
        <f>VLOOKUP(consArgamassa[[#This Row],[RecebID]],recebArgamassa[],14,FALSE)</f>
        <v>464.75</v>
      </c>
      <c r="N331" s="22">
        <f>IFERROR(VLOOKUP(consArgamassa[[#This Row],[Serviço]],Tabela4[],6,FALSE),"")</f>
        <v>500</v>
      </c>
      <c r="O331" s="1" t="s">
        <v>274</v>
      </c>
      <c r="P331" s="13">
        <v>36892</v>
      </c>
    </row>
    <row r="332" spans="1:16" x14ac:dyDescent="0.25">
      <c r="A332" s="1" t="s">
        <v>205</v>
      </c>
      <c r="B332" s="7" t="str">
        <f>CONCATENATE("CNSARG",TEXT(consArgamassa[[#This Row],[Ordem]],"00000"))</f>
        <v>CNSARG00849</v>
      </c>
      <c r="C332" s="7">
        <v>849</v>
      </c>
      <c r="D332" s="10">
        <f>VLOOKUP(consArgamassa[[#This Row],[RecebID]],recebArgamassa[[RecebID]:[Insumo]],3,FALSE)</f>
        <v>45027.125</v>
      </c>
      <c r="E332" s="7" t="str">
        <f>VLOOKUP(consArgamassa[[#This Row],[RecebID]],recebArgamassa[[RecebID]:[Insumo]],4,FALSE)</f>
        <v>Argamassa Estabilizada</v>
      </c>
      <c r="F332" s="1" t="s">
        <v>247</v>
      </c>
      <c r="G332" s="1" t="s">
        <v>255</v>
      </c>
      <c r="H332" s="1">
        <v>7</v>
      </c>
      <c r="I332" s="1" t="s">
        <v>10</v>
      </c>
      <c r="K332" s="2">
        <v>1</v>
      </c>
      <c r="L332" s="23">
        <f>IFERROR(VLOOKUP(consArgamassa[[#This Row],[Serviço]],Tabela4[],5,FALSE),"")</f>
        <v>0</v>
      </c>
      <c r="M332" s="22">
        <f>VLOOKUP(consArgamassa[[#This Row],[RecebID]],recebArgamassa[],14,FALSE)</f>
        <v>464.75</v>
      </c>
      <c r="N332" s="22">
        <f>IFERROR(VLOOKUP(consArgamassa[[#This Row],[Serviço]],Tabela4[],6,FALSE),"")</f>
        <v>500</v>
      </c>
      <c r="O332" s="1" t="s">
        <v>274</v>
      </c>
      <c r="P332" s="13">
        <v>36892</v>
      </c>
    </row>
    <row r="333" spans="1:16" x14ac:dyDescent="0.25">
      <c r="A333" s="1" t="s">
        <v>206</v>
      </c>
      <c r="B333" s="7" t="str">
        <f>CONCATENATE("CNSARG",TEXT(consArgamassa[[#This Row],[Ordem]],"00000"))</f>
        <v>CNSARG00850</v>
      </c>
      <c r="C333" s="7">
        <v>850</v>
      </c>
      <c r="D333" s="10">
        <f>VLOOKUP(consArgamassa[[#This Row],[RecebID]],recebArgamassa[[RecebID]:[Insumo]],3,FALSE)</f>
        <v>45028.125</v>
      </c>
      <c r="E333" s="7" t="str">
        <f>VLOOKUP(consArgamassa[[#This Row],[RecebID]],recebArgamassa[[RecebID]:[Insumo]],4,FALSE)</f>
        <v>Argamassa Estabilizada</v>
      </c>
      <c r="F333" s="1" t="s">
        <v>247</v>
      </c>
      <c r="G333" s="1" t="s">
        <v>255</v>
      </c>
      <c r="H333" s="1">
        <v>9</v>
      </c>
      <c r="I333" s="1" t="s">
        <v>10</v>
      </c>
      <c r="K333" s="2">
        <v>1</v>
      </c>
      <c r="L333" s="23">
        <f>IFERROR(VLOOKUP(consArgamassa[[#This Row],[Serviço]],Tabela4[],5,FALSE),"")</f>
        <v>0</v>
      </c>
      <c r="M333" s="22">
        <f>VLOOKUP(consArgamassa[[#This Row],[RecebID]],recebArgamassa[],14,FALSE)</f>
        <v>464.75</v>
      </c>
      <c r="N333" s="22">
        <f>IFERROR(VLOOKUP(consArgamassa[[#This Row],[Serviço]],Tabela4[],6,FALSE),"")</f>
        <v>500</v>
      </c>
      <c r="O333" s="1" t="s">
        <v>274</v>
      </c>
      <c r="P333" s="13">
        <v>36892</v>
      </c>
    </row>
    <row r="334" spans="1:16" x14ac:dyDescent="0.25">
      <c r="A334" s="1" t="s">
        <v>207</v>
      </c>
      <c r="B334" s="7" t="str">
        <f>CONCATENATE("CNSARG",TEXT(consArgamassa[[#This Row],[Ordem]],"00000"))</f>
        <v>CNSARG00851</v>
      </c>
      <c r="C334" s="7">
        <v>851</v>
      </c>
      <c r="D334" s="10">
        <f>VLOOKUP(consArgamassa[[#This Row],[RecebID]],recebArgamassa[[RecebID]:[Insumo]],3,FALSE)</f>
        <v>45029.125</v>
      </c>
      <c r="E334" s="7" t="str">
        <f>VLOOKUP(consArgamassa[[#This Row],[RecebID]],recebArgamassa[[RecebID]:[Insumo]],4,FALSE)</f>
        <v>Argamassa Estabilizada</v>
      </c>
      <c r="F334" s="1" t="s">
        <v>250</v>
      </c>
      <c r="G334" s="1" t="s">
        <v>256</v>
      </c>
      <c r="H334" s="1">
        <v>8</v>
      </c>
      <c r="I334" s="1" t="s">
        <v>238</v>
      </c>
      <c r="J334" s="1" t="s">
        <v>238</v>
      </c>
      <c r="K334" s="2">
        <v>1</v>
      </c>
      <c r="L334" s="23">
        <f>IFERROR(VLOOKUP(consArgamassa[[#This Row],[Serviço]],Tabela4[],5,FALSE),"")</f>
        <v>0</v>
      </c>
      <c r="M334" s="22">
        <f>VLOOKUP(consArgamassa[[#This Row],[RecebID]],recebArgamassa[],14,FALSE)</f>
        <v>464.75</v>
      </c>
      <c r="N334" s="22">
        <f>IFERROR(VLOOKUP(consArgamassa[[#This Row],[Serviço]],Tabela4[],6,FALSE),"")</f>
        <v>500</v>
      </c>
      <c r="O334" s="1" t="s">
        <v>274</v>
      </c>
      <c r="P334" s="13">
        <v>36892</v>
      </c>
    </row>
    <row r="335" spans="1:16" x14ac:dyDescent="0.25">
      <c r="A335" s="1" t="s">
        <v>208</v>
      </c>
      <c r="B335" s="7" t="str">
        <f>CONCATENATE("CNSARG",TEXT(consArgamassa[[#This Row],[Ordem]],"00000"))</f>
        <v>CNSARG00852</v>
      </c>
      <c r="C335" s="7">
        <v>852</v>
      </c>
      <c r="D335" s="10">
        <f>VLOOKUP(consArgamassa[[#This Row],[RecebID]],recebArgamassa[[RecebID]:[Insumo]],3,FALSE)</f>
        <v>45030.125</v>
      </c>
      <c r="E335" s="7" t="str">
        <f>VLOOKUP(consArgamassa[[#This Row],[RecebID]],recebArgamassa[[RecebID]:[Insumo]],4,FALSE)</f>
        <v>Argamassa Estabilizada</v>
      </c>
      <c r="F335" s="1" t="s">
        <v>247</v>
      </c>
      <c r="G335" s="1" t="s">
        <v>255</v>
      </c>
      <c r="H335" s="1">
        <v>9</v>
      </c>
      <c r="I335" s="1" t="s">
        <v>10</v>
      </c>
      <c r="K335" s="2">
        <v>1</v>
      </c>
      <c r="L335" s="23">
        <f>IFERROR(VLOOKUP(consArgamassa[[#This Row],[Serviço]],Tabela4[],5,FALSE),"")</f>
        <v>0</v>
      </c>
      <c r="M335" s="22">
        <f>VLOOKUP(consArgamassa[[#This Row],[RecebID]],recebArgamassa[],14,FALSE)</f>
        <v>464.75</v>
      </c>
      <c r="N335" s="22">
        <f>IFERROR(VLOOKUP(consArgamassa[[#This Row],[Serviço]],Tabela4[],6,FALSE),"")</f>
        <v>500</v>
      </c>
      <c r="O335" s="1" t="s">
        <v>274</v>
      </c>
      <c r="P335" s="13">
        <v>36892</v>
      </c>
    </row>
    <row r="336" spans="1:16" x14ac:dyDescent="0.25">
      <c r="A336" s="1" t="s">
        <v>210</v>
      </c>
      <c r="B336" s="7" t="str">
        <f>CONCATENATE("CNSARG",TEXT(consArgamassa[[#This Row],[Ordem]],"00000"))</f>
        <v>CNSARG00854</v>
      </c>
      <c r="C336" s="7">
        <v>854</v>
      </c>
      <c r="D336" s="10">
        <f>VLOOKUP(consArgamassa[[#This Row],[RecebID]],recebArgamassa[[RecebID]:[Insumo]],3,FALSE)</f>
        <v>45034.125</v>
      </c>
      <c r="E336" s="7" t="str">
        <f>VLOOKUP(consArgamassa[[#This Row],[RecebID]],recebArgamassa[[RecebID]:[Insumo]],4,FALSE)</f>
        <v>Argamassa Estabilizada</v>
      </c>
      <c r="F336" s="1" t="s">
        <v>250</v>
      </c>
      <c r="G336" s="1" t="s">
        <v>270</v>
      </c>
      <c r="H336" s="1" t="s">
        <v>296</v>
      </c>
      <c r="I336" s="1" t="s">
        <v>10</v>
      </c>
      <c r="J336" s="1" t="s">
        <v>240</v>
      </c>
      <c r="K336" s="2">
        <v>1.5</v>
      </c>
      <c r="L336" s="23">
        <f>IFERROR(VLOOKUP(consArgamassa[[#This Row],[Serviço]],Tabela4[],5,FALSE),"")</f>
        <v>0</v>
      </c>
      <c r="M336" s="22">
        <f>VLOOKUP(consArgamassa[[#This Row],[RecebID]],recebArgamassa[],14,FALSE)</f>
        <v>464.75</v>
      </c>
      <c r="N336" s="22">
        <f>IFERROR(VLOOKUP(consArgamassa[[#This Row],[Serviço]],Tabela4[],6,FALSE),"")</f>
        <v>500</v>
      </c>
      <c r="O336" s="1" t="s">
        <v>274</v>
      </c>
      <c r="P336" s="13">
        <v>36892</v>
      </c>
    </row>
    <row r="337" spans="1:16" x14ac:dyDescent="0.25">
      <c r="A337" s="1" t="s">
        <v>211</v>
      </c>
      <c r="B337" s="7" t="str">
        <f>CONCATENATE("CNSARG",TEXT(consArgamassa[[#This Row],[Ordem]],"00000"))</f>
        <v>CNSARG00855</v>
      </c>
      <c r="C337" s="7">
        <v>855</v>
      </c>
      <c r="D337" s="10">
        <f>VLOOKUP(consArgamassa[[#This Row],[RecebID]],recebArgamassa[[RecebID]:[Insumo]],3,FALSE)</f>
        <v>45035.125</v>
      </c>
      <c r="E337" s="7" t="str">
        <f>VLOOKUP(consArgamassa[[#This Row],[RecebID]],recebArgamassa[[RecebID]:[Insumo]],4,FALSE)</f>
        <v>Argamassa Estabilizada</v>
      </c>
      <c r="F337" s="1" t="s">
        <v>250</v>
      </c>
      <c r="G337" s="1" t="s">
        <v>270</v>
      </c>
      <c r="H337" s="1" t="s">
        <v>296</v>
      </c>
      <c r="I337" s="1" t="s">
        <v>10</v>
      </c>
      <c r="J337" s="1" t="s">
        <v>240</v>
      </c>
      <c r="K337" s="2">
        <v>1</v>
      </c>
      <c r="L337" s="23">
        <f>IFERROR(VLOOKUP(consArgamassa[[#This Row],[Serviço]],Tabela4[],5,FALSE),"")</f>
        <v>0</v>
      </c>
      <c r="M337" s="22">
        <f>VLOOKUP(consArgamassa[[#This Row],[RecebID]],recebArgamassa[],14,FALSE)</f>
        <v>464.75</v>
      </c>
      <c r="N337" s="22">
        <f>IFERROR(VLOOKUP(consArgamassa[[#This Row],[Serviço]],Tabela4[],6,FALSE),"")</f>
        <v>500</v>
      </c>
      <c r="O337" s="1" t="s">
        <v>274</v>
      </c>
      <c r="P337" s="13">
        <v>36892</v>
      </c>
    </row>
    <row r="338" spans="1:16" x14ac:dyDescent="0.25">
      <c r="A338" s="1" t="s">
        <v>212</v>
      </c>
      <c r="B338" s="7" t="str">
        <f>CONCATENATE("CNSARG",TEXT(consArgamassa[[#This Row],[Ordem]],"00000"))</f>
        <v>CNSARG00856</v>
      </c>
      <c r="C338" s="7">
        <v>856</v>
      </c>
      <c r="D338" s="10">
        <f>VLOOKUP(consArgamassa[[#This Row],[RecebID]],recebArgamassa[[RecebID]:[Insumo]],3,FALSE)</f>
        <v>45040.125</v>
      </c>
      <c r="E338" s="7" t="str">
        <f>VLOOKUP(consArgamassa[[#This Row],[RecebID]],recebArgamassa[[RecebID]:[Insumo]],4,FALSE)</f>
        <v>Argamassa Estabilizada</v>
      </c>
      <c r="F338" s="1" t="s">
        <v>250</v>
      </c>
      <c r="G338" s="1" t="s">
        <v>270</v>
      </c>
      <c r="H338" s="1" t="s">
        <v>296</v>
      </c>
      <c r="I338" s="1" t="s">
        <v>10</v>
      </c>
      <c r="J338" s="1" t="s">
        <v>240</v>
      </c>
      <c r="K338" s="2">
        <v>2</v>
      </c>
      <c r="L338" s="23">
        <f>IFERROR(VLOOKUP(consArgamassa[[#This Row],[Serviço]],Tabela4[],5,FALSE),"")</f>
        <v>0</v>
      </c>
      <c r="M338" s="22">
        <f>VLOOKUP(consArgamassa[[#This Row],[RecebID]],recebArgamassa[],14,FALSE)</f>
        <v>464.75</v>
      </c>
      <c r="N338" s="22">
        <f>IFERROR(VLOOKUP(consArgamassa[[#This Row],[Serviço]],Tabela4[],6,FALSE),"")</f>
        <v>500</v>
      </c>
      <c r="O338" s="1" t="s">
        <v>274</v>
      </c>
      <c r="P338" s="13">
        <v>36892</v>
      </c>
    </row>
    <row r="339" spans="1:16" x14ac:dyDescent="0.25">
      <c r="A339" s="1" t="s">
        <v>213</v>
      </c>
      <c r="B339" s="7" t="str">
        <f>CONCATENATE("CNSARG",TEXT(consArgamassa[[#This Row],[Ordem]],"00000"))</f>
        <v>CNSARG00857</v>
      </c>
      <c r="C339" s="7">
        <v>857</v>
      </c>
      <c r="D339" s="10">
        <f>VLOOKUP(consArgamassa[[#This Row],[RecebID]],recebArgamassa[[RecebID]:[Insumo]],3,FALSE)</f>
        <v>45041.125</v>
      </c>
      <c r="E339" s="7" t="str">
        <f>VLOOKUP(consArgamassa[[#This Row],[RecebID]],recebArgamassa[[RecebID]:[Insumo]],4,FALSE)</f>
        <v>Argamassa Estabilizada</v>
      </c>
      <c r="F339" s="1" t="s">
        <v>250</v>
      </c>
      <c r="G339" s="1" t="s">
        <v>270</v>
      </c>
      <c r="H339" s="1" t="s">
        <v>296</v>
      </c>
      <c r="I339" s="1" t="s">
        <v>10</v>
      </c>
      <c r="J339" s="1" t="s">
        <v>240</v>
      </c>
      <c r="K339" s="2">
        <v>1</v>
      </c>
      <c r="L339" s="23">
        <f>IFERROR(VLOOKUP(consArgamassa[[#This Row],[Serviço]],Tabela4[],5,FALSE),"")</f>
        <v>0</v>
      </c>
      <c r="M339" s="22">
        <f>VLOOKUP(consArgamassa[[#This Row],[RecebID]],recebArgamassa[],14,FALSE)</f>
        <v>464.75</v>
      </c>
      <c r="N339" s="22">
        <f>IFERROR(VLOOKUP(consArgamassa[[#This Row],[Serviço]],Tabela4[],6,FALSE),"")</f>
        <v>500</v>
      </c>
      <c r="O339" s="1" t="s">
        <v>274</v>
      </c>
      <c r="P339" s="13">
        <v>36892</v>
      </c>
    </row>
    <row r="340" spans="1:16" x14ac:dyDescent="0.25">
      <c r="A340" s="1" t="s">
        <v>214</v>
      </c>
      <c r="B340" s="7" t="str">
        <f>CONCATENATE("CNSARG",TEXT(consArgamassa[[#This Row],[Ordem]],"00000"))</f>
        <v>CNSARG00858</v>
      </c>
      <c r="C340" s="7">
        <v>858</v>
      </c>
      <c r="D340" s="10">
        <f>VLOOKUP(consArgamassa[[#This Row],[RecebID]],recebArgamassa[[RecebID]:[Insumo]],3,FALSE)</f>
        <v>44197</v>
      </c>
      <c r="E340" s="7" t="str">
        <f>VLOOKUP(consArgamassa[[#This Row],[RecebID]],recebArgamassa[[RecebID]:[Insumo]],4,FALSE)</f>
        <v>Argamassa Estabilizada</v>
      </c>
      <c r="F340" s="1" t="s">
        <v>250</v>
      </c>
      <c r="G340" s="1" t="s">
        <v>270</v>
      </c>
      <c r="H340" s="1" t="s">
        <v>296</v>
      </c>
      <c r="I340" s="1" t="s">
        <v>10</v>
      </c>
      <c r="J340" s="1" t="s">
        <v>240</v>
      </c>
      <c r="K340" s="2">
        <v>1</v>
      </c>
      <c r="L340" s="23">
        <f>IFERROR(VLOOKUP(consArgamassa[[#This Row],[Serviço]],Tabela4[],5,FALSE),"")</f>
        <v>0</v>
      </c>
      <c r="M340" s="22">
        <f>VLOOKUP(consArgamassa[[#This Row],[RecebID]],recebArgamassa[],14,FALSE)</f>
        <v>464.75</v>
      </c>
      <c r="N340" s="22">
        <f>IFERROR(VLOOKUP(consArgamassa[[#This Row],[Serviço]],Tabela4[],6,FALSE),"")</f>
        <v>500</v>
      </c>
      <c r="O340" s="1" t="s">
        <v>274</v>
      </c>
      <c r="P340" s="13">
        <v>36892</v>
      </c>
    </row>
    <row r="341" spans="1:16" x14ac:dyDescent="0.25">
      <c r="A341" s="1" t="s">
        <v>215</v>
      </c>
      <c r="B341" s="7" t="str">
        <f>CONCATENATE("CNSARG",TEXT(consArgamassa[[#This Row],[Ordem]],"00000"))</f>
        <v>CNSARG00859</v>
      </c>
      <c r="C341" s="7">
        <v>859</v>
      </c>
      <c r="D341" s="10">
        <f>VLOOKUP(consArgamassa[[#This Row],[RecebID]],recebArgamassa[[RecebID]:[Insumo]],3,FALSE)</f>
        <v>45044.125</v>
      </c>
      <c r="E341" s="7" t="str">
        <f>VLOOKUP(consArgamassa[[#This Row],[RecebID]],recebArgamassa[[RecebID]:[Insumo]],4,FALSE)</f>
        <v>Argamassa Estabilizada</v>
      </c>
      <c r="F341" s="1" t="s">
        <v>250</v>
      </c>
      <c r="G341" s="1" t="s">
        <v>270</v>
      </c>
      <c r="H341" s="1" t="s">
        <v>296</v>
      </c>
      <c r="I341" s="1" t="s">
        <v>10</v>
      </c>
      <c r="J341" s="1" t="s">
        <v>240</v>
      </c>
      <c r="K341" s="2">
        <v>1</v>
      </c>
      <c r="L341" s="23">
        <f>IFERROR(VLOOKUP(consArgamassa[[#This Row],[Serviço]],Tabela4[],5,FALSE),"")</f>
        <v>0</v>
      </c>
      <c r="M341" s="22">
        <f>VLOOKUP(consArgamassa[[#This Row],[RecebID]],recebArgamassa[],14,FALSE)</f>
        <v>464.75</v>
      </c>
      <c r="N341" s="22">
        <f>IFERROR(VLOOKUP(consArgamassa[[#This Row],[Serviço]],Tabela4[],6,FALSE),"")</f>
        <v>500</v>
      </c>
      <c r="O341" s="1" t="s">
        <v>274</v>
      </c>
      <c r="P341" s="13">
        <v>36892</v>
      </c>
    </row>
    <row r="342" spans="1:16" x14ac:dyDescent="0.25">
      <c r="A342" s="1" t="s">
        <v>216</v>
      </c>
      <c r="B342" s="7" t="str">
        <f>CONCATENATE("CNSARG",TEXT(consArgamassa[[#This Row],[Ordem]],"00000"))</f>
        <v>CNSARG00860</v>
      </c>
      <c r="C342" s="7">
        <v>860</v>
      </c>
      <c r="D342" s="10">
        <f>VLOOKUP(consArgamassa[[#This Row],[RecebID]],recebArgamassa[[RecebID]:[Insumo]],3,FALSE)</f>
        <v>45048.125</v>
      </c>
      <c r="E342" s="7" t="str">
        <f>VLOOKUP(consArgamassa[[#This Row],[RecebID]],recebArgamassa[[RecebID]:[Insumo]],4,FALSE)</f>
        <v>Argamassa Estabilizada</v>
      </c>
      <c r="F342" s="1" t="s">
        <v>264</v>
      </c>
      <c r="G342" s="1" t="s">
        <v>256</v>
      </c>
      <c r="H342" s="1">
        <v>2</v>
      </c>
      <c r="I342" s="1" t="s">
        <v>9</v>
      </c>
      <c r="K342" s="2">
        <v>1</v>
      </c>
      <c r="L342" s="23">
        <f>IFERROR(VLOOKUP(consArgamassa[[#This Row],[Serviço]],Tabela4[],5,FALSE),"")</f>
        <v>1.3352499999999998</v>
      </c>
      <c r="M342" s="22">
        <f>VLOOKUP(consArgamassa[[#This Row],[RecebID]],recebArgamassa[],14,FALSE)</f>
        <v>464.75</v>
      </c>
      <c r="N342" s="22">
        <f>IFERROR(VLOOKUP(consArgamassa[[#This Row],[Serviço]],Tabela4[],6,FALSE),"")</f>
        <v>500</v>
      </c>
      <c r="O342" s="1" t="s">
        <v>274</v>
      </c>
      <c r="P342" s="13">
        <v>36892</v>
      </c>
    </row>
    <row r="343" spans="1:16" x14ac:dyDescent="0.25">
      <c r="A343" s="1" t="s">
        <v>217</v>
      </c>
      <c r="B343" s="7" t="str">
        <f>CONCATENATE("CNSARG",TEXT(consArgamassa[[#This Row],[Ordem]],"00000"))</f>
        <v>CNSARG00861</v>
      </c>
      <c r="C343" s="7">
        <v>861</v>
      </c>
      <c r="D343" s="10">
        <f>VLOOKUP(consArgamassa[[#This Row],[RecebID]],recebArgamassa[[RecebID]:[Insumo]],3,FALSE)</f>
        <v>45050.125</v>
      </c>
      <c r="E343" s="7" t="str">
        <f>VLOOKUP(consArgamassa[[#This Row],[RecebID]],recebArgamassa[[RecebID]:[Insumo]],4,FALSE)</f>
        <v>Argamassa Estabilizada</v>
      </c>
      <c r="F343" s="1" t="s">
        <v>250</v>
      </c>
      <c r="G343" s="1" t="s">
        <v>270</v>
      </c>
      <c r="H343" s="1" t="s">
        <v>297</v>
      </c>
      <c r="I343" s="1" t="s">
        <v>10</v>
      </c>
      <c r="J343" s="1" t="s">
        <v>246</v>
      </c>
      <c r="K343" s="2">
        <v>0.5</v>
      </c>
      <c r="L343" s="23">
        <f>IFERROR(VLOOKUP(consArgamassa[[#This Row],[Serviço]],Tabela4[],5,FALSE),"")</f>
        <v>0</v>
      </c>
      <c r="M343" s="22">
        <f>VLOOKUP(consArgamassa[[#This Row],[RecebID]],recebArgamassa[],14,FALSE)</f>
        <v>464.75</v>
      </c>
      <c r="N343" s="22">
        <f>IFERROR(VLOOKUP(consArgamassa[[#This Row],[Serviço]],Tabela4[],6,FALSE),"")</f>
        <v>500</v>
      </c>
      <c r="O343" s="1" t="s">
        <v>274</v>
      </c>
      <c r="P343" s="13">
        <v>36892</v>
      </c>
    </row>
    <row r="344" spans="1:16" x14ac:dyDescent="0.25">
      <c r="A344" s="1" t="s">
        <v>218</v>
      </c>
      <c r="B344" s="7" t="str">
        <f>CONCATENATE("CNSARG",TEXT(consArgamassa[[#This Row],[Ordem]],"00000"))</f>
        <v>CNSARG00862</v>
      </c>
      <c r="C344" s="7">
        <v>862</v>
      </c>
      <c r="D344" s="10">
        <f>VLOOKUP(consArgamassa[[#This Row],[RecebID]],recebArgamassa[[RecebID]:[Insumo]],3,FALSE)</f>
        <v>45051.125</v>
      </c>
      <c r="E344" s="7" t="str">
        <f>VLOOKUP(consArgamassa[[#This Row],[RecebID]],recebArgamassa[[RecebID]:[Insumo]],4,FALSE)</f>
        <v>Argamassa Estabilizada</v>
      </c>
      <c r="F344" s="1" t="s">
        <v>247</v>
      </c>
      <c r="G344" s="1" t="s">
        <v>256</v>
      </c>
      <c r="H344" s="1">
        <v>3</v>
      </c>
      <c r="I344" s="1" t="s">
        <v>7</v>
      </c>
      <c r="K344" s="2">
        <v>0.5</v>
      </c>
      <c r="L344" s="23">
        <f>IFERROR(VLOOKUP(consArgamassa[[#This Row],[Serviço]],Tabela4[],5,FALSE),"")</f>
        <v>0</v>
      </c>
      <c r="M344" s="22">
        <f>VLOOKUP(consArgamassa[[#This Row],[RecebID]],recebArgamassa[],14,FALSE)</f>
        <v>464.75</v>
      </c>
      <c r="N344" s="22">
        <f>IFERROR(VLOOKUP(consArgamassa[[#This Row],[Serviço]],Tabela4[],6,FALSE),"")</f>
        <v>500</v>
      </c>
      <c r="O344" s="1" t="s">
        <v>274</v>
      </c>
      <c r="P344" s="13">
        <v>36892</v>
      </c>
    </row>
    <row r="345" spans="1:16" x14ac:dyDescent="0.25">
      <c r="A345" s="1" t="s">
        <v>219</v>
      </c>
      <c r="B345" s="7" t="str">
        <f>CONCATENATE("CNSARG",TEXT(consArgamassa[[#This Row],[Ordem]],"00000"))</f>
        <v>CNSARG00863</v>
      </c>
      <c r="C345" s="7">
        <v>863</v>
      </c>
      <c r="D345" s="10">
        <f>VLOOKUP(consArgamassa[[#This Row],[RecebID]],recebArgamassa[[RecebID]:[Insumo]],3,FALSE)</f>
        <v>45054.125</v>
      </c>
      <c r="E345" s="7" t="str">
        <f>VLOOKUP(consArgamassa[[#This Row],[RecebID]],recebArgamassa[[RecebID]:[Insumo]],4,FALSE)</f>
        <v>Argamassa Estabilizada</v>
      </c>
      <c r="F345" s="1" t="s">
        <v>239</v>
      </c>
      <c r="G345" s="1" t="s">
        <v>270</v>
      </c>
      <c r="H345" s="1" t="s">
        <v>297</v>
      </c>
      <c r="I345" s="1" t="s">
        <v>10</v>
      </c>
      <c r="J345" s="1" t="s">
        <v>239</v>
      </c>
      <c r="K345" s="2">
        <v>1.5</v>
      </c>
      <c r="L345" s="23">
        <f>IFERROR(VLOOKUP(consArgamassa[[#This Row],[Serviço]],Tabela4[],5,FALSE),"")</f>
        <v>0</v>
      </c>
      <c r="M345" s="22">
        <f>VLOOKUP(consArgamassa[[#This Row],[RecebID]],recebArgamassa[],14,FALSE)</f>
        <v>464.75</v>
      </c>
      <c r="N345" s="22">
        <f>IFERROR(VLOOKUP(consArgamassa[[#This Row],[Serviço]],Tabela4[],6,FALSE),"")</f>
        <v>500</v>
      </c>
      <c r="O345" s="1" t="s">
        <v>274</v>
      </c>
      <c r="P345" s="13">
        <v>36892</v>
      </c>
    </row>
    <row r="346" spans="1:16" x14ac:dyDescent="0.25">
      <c r="A346" s="1" t="s">
        <v>220</v>
      </c>
      <c r="B346" s="7" t="str">
        <f>CONCATENATE("CNSARG",TEXT(consArgamassa[[#This Row],[Ordem]],"00000"))</f>
        <v>CNSARG00864</v>
      </c>
      <c r="C346" s="7">
        <v>864</v>
      </c>
      <c r="D346" s="10">
        <f>VLOOKUP(consArgamassa[[#This Row],[RecebID]],recebArgamassa[[RecebID]:[Insumo]],3,FALSE)</f>
        <v>45055.125</v>
      </c>
      <c r="E346" s="7" t="str">
        <f>VLOOKUP(consArgamassa[[#This Row],[RecebID]],recebArgamassa[[RecebID]:[Insumo]],4,FALSE)</f>
        <v>Argamassa Estabilizada</v>
      </c>
      <c r="F346" s="1" t="s">
        <v>239</v>
      </c>
      <c r="G346" s="1" t="s">
        <v>270</v>
      </c>
      <c r="H346" s="1" t="s">
        <v>297</v>
      </c>
      <c r="I346" s="1" t="s">
        <v>10</v>
      </c>
      <c r="J346" s="1" t="s">
        <v>239</v>
      </c>
      <c r="K346" s="2">
        <v>1</v>
      </c>
      <c r="L346" s="23">
        <f>IFERROR(VLOOKUP(consArgamassa[[#This Row],[Serviço]],Tabela4[],5,FALSE),"")</f>
        <v>0</v>
      </c>
      <c r="M346" s="22">
        <f>VLOOKUP(consArgamassa[[#This Row],[RecebID]],recebArgamassa[],14,FALSE)</f>
        <v>464.75</v>
      </c>
      <c r="N346" s="22">
        <f>IFERROR(VLOOKUP(consArgamassa[[#This Row],[Serviço]],Tabela4[],6,FALSE),"")</f>
        <v>500</v>
      </c>
      <c r="O346" s="1" t="s">
        <v>274</v>
      </c>
      <c r="P346" s="13">
        <v>36892</v>
      </c>
    </row>
    <row r="347" spans="1:16" x14ac:dyDescent="0.25">
      <c r="A347" s="1" t="s">
        <v>221</v>
      </c>
      <c r="B347" s="7" t="str">
        <f>CONCATENATE("CNSARG",TEXT(consArgamassa[[#This Row],[Ordem]],"00000"))</f>
        <v>CNSARG00865</v>
      </c>
      <c r="C347" s="7">
        <v>865</v>
      </c>
      <c r="D347" s="10">
        <f>VLOOKUP(consArgamassa[[#This Row],[RecebID]],recebArgamassa[[RecebID]:[Insumo]],3,FALSE)</f>
        <v>45056.125</v>
      </c>
      <c r="E347" s="7" t="str">
        <f>VLOOKUP(consArgamassa[[#This Row],[RecebID]],recebArgamassa[[RecebID]:[Insumo]],4,FALSE)</f>
        <v>Argamassa Estabilizada</v>
      </c>
      <c r="F347" s="1" t="s">
        <v>239</v>
      </c>
      <c r="G347" s="1" t="s">
        <v>270</v>
      </c>
      <c r="H347" s="1" t="s">
        <v>297</v>
      </c>
      <c r="I347" s="1" t="s">
        <v>10</v>
      </c>
      <c r="J347" s="1" t="s">
        <v>239</v>
      </c>
      <c r="K347" s="2">
        <v>1</v>
      </c>
      <c r="L347" s="23">
        <f>IFERROR(VLOOKUP(consArgamassa[[#This Row],[Serviço]],Tabela4[],5,FALSE),"")</f>
        <v>0</v>
      </c>
      <c r="M347" s="22">
        <f>VLOOKUP(consArgamassa[[#This Row],[RecebID]],recebArgamassa[],14,FALSE)</f>
        <v>464.75</v>
      </c>
      <c r="N347" s="22">
        <f>IFERROR(VLOOKUP(consArgamassa[[#This Row],[Serviço]],Tabela4[],6,FALSE),"")</f>
        <v>500</v>
      </c>
      <c r="O347" s="1" t="s">
        <v>274</v>
      </c>
      <c r="P347" s="13">
        <v>36892</v>
      </c>
    </row>
    <row r="348" spans="1:16" x14ac:dyDescent="0.25">
      <c r="A348" s="1" t="s">
        <v>222</v>
      </c>
      <c r="B348" s="7" t="str">
        <f>CONCATENATE("CNSARG",TEXT(consArgamassa[[#This Row],[Ordem]],"00000"))</f>
        <v>CNSARG00866</v>
      </c>
      <c r="C348" s="7">
        <v>866</v>
      </c>
      <c r="D348" s="10">
        <f>VLOOKUP(consArgamassa[[#This Row],[RecebID]],recebArgamassa[[RecebID]:[Insumo]],3,FALSE)</f>
        <v>45057.125</v>
      </c>
      <c r="E348" s="7" t="str">
        <f>VLOOKUP(consArgamassa[[#This Row],[RecebID]],recebArgamassa[[RecebID]:[Insumo]],4,FALSE)</f>
        <v>Argamassa Estabilizada</v>
      </c>
      <c r="F348" s="1" t="s">
        <v>239</v>
      </c>
      <c r="G348" s="1" t="s">
        <v>270</v>
      </c>
      <c r="H348" s="1" t="s">
        <v>297</v>
      </c>
      <c r="I348" s="1" t="s">
        <v>10</v>
      </c>
      <c r="J348" s="1" t="s">
        <v>239</v>
      </c>
      <c r="K348" s="2">
        <v>1</v>
      </c>
      <c r="L348" s="23">
        <f>IFERROR(VLOOKUP(consArgamassa[[#This Row],[Serviço]],Tabela4[],5,FALSE),"")</f>
        <v>0</v>
      </c>
      <c r="M348" s="22">
        <f>VLOOKUP(consArgamassa[[#This Row],[RecebID]],recebArgamassa[],14,FALSE)</f>
        <v>464.75</v>
      </c>
      <c r="N348" s="22">
        <f>IFERROR(VLOOKUP(consArgamassa[[#This Row],[Serviço]],Tabela4[],6,FALSE),"")</f>
        <v>500</v>
      </c>
      <c r="O348" s="1" t="s">
        <v>274</v>
      </c>
      <c r="P348" s="13">
        <v>36892</v>
      </c>
    </row>
    <row r="349" spans="1:16" x14ac:dyDescent="0.25">
      <c r="A349" s="1" t="s">
        <v>223</v>
      </c>
      <c r="B349" s="7" t="str">
        <f>CONCATENATE("CNSARG",TEXT(consArgamassa[[#This Row],[Ordem]],"00000"))</f>
        <v>CNSARG00867</v>
      </c>
      <c r="C349" s="7">
        <v>867</v>
      </c>
      <c r="D349" s="10">
        <f>VLOOKUP(consArgamassa[[#This Row],[RecebID]],recebArgamassa[[RecebID]:[Insumo]],3,FALSE)</f>
        <v>45061.125</v>
      </c>
      <c r="E349" s="7" t="str">
        <f>VLOOKUP(consArgamassa[[#This Row],[RecebID]],recebArgamassa[[RecebID]:[Insumo]],4,FALSE)</f>
        <v>Argamassa Estabilizada</v>
      </c>
      <c r="F349" s="1" t="s">
        <v>250</v>
      </c>
      <c r="G349" s="1" t="s">
        <v>270</v>
      </c>
      <c r="H349" s="1" t="s">
        <v>297</v>
      </c>
      <c r="I349" s="1" t="s">
        <v>10</v>
      </c>
      <c r="J349" s="1" t="s">
        <v>246</v>
      </c>
      <c r="K349" s="2">
        <v>0.5</v>
      </c>
      <c r="L349" s="23">
        <f>IFERROR(VLOOKUP(consArgamassa[[#This Row],[Serviço]],Tabela4[],5,FALSE),"")</f>
        <v>0</v>
      </c>
      <c r="M349" s="22">
        <f>VLOOKUP(consArgamassa[[#This Row],[RecebID]],recebArgamassa[],14,FALSE)</f>
        <v>464.75</v>
      </c>
      <c r="N349" s="22">
        <f>IFERROR(VLOOKUP(consArgamassa[[#This Row],[Serviço]],Tabela4[],6,FALSE),"")</f>
        <v>500</v>
      </c>
      <c r="O349" s="1" t="s">
        <v>274</v>
      </c>
      <c r="P349" s="13">
        <v>36892</v>
      </c>
    </row>
    <row r="350" spans="1:16" x14ac:dyDescent="0.25">
      <c r="A350" s="1" t="s">
        <v>225</v>
      </c>
      <c r="B350" s="7" t="str">
        <f>CONCATENATE("CNSARG",TEXT(consArgamassa[[#This Row],[Ordem]],"00000"))</f>
        <v>CNSARG00869</v>
      </c>
      <c r="C350" s="7">
        <v>869</v>
      </c>
      <c r="D350" s="10">
        <f>VLOOKUP(consArgamassa[[#This Row],[RecebID]],recebArgamassa[[RecebID]:[Insumo]],3,FALSE)</f>
        <v>45063.125</v>
      </c>
      <c r="E350" s="7" t="str">
        <f>VLOOKUP(consArgamassa[[#This Row],[RecebID]],recebArgamassa[[RecebID]:[Insumo]],4,FALSE)</f>
        <v>Argamassa Estabilizada</v>
      </c>
      <c r="F350" s="1" t="s">
        <v>247</v>
      </c>
      <c r="G350" s="1" t="s">
        <v>256</v>
      </c>
      <c r="H350" s="1">
        <v>3</v>
      </c>
      <c r="I350" s="1" t="s">
        <v>9</v>
      </c>
      <c r="K350" s="2">
        <v>1.5</v>
      </c>
      <c r="L350" s="23">
        <f>IFERROR(VLOOKUP(consArgamassa[[#This Row],[Serviço]],Tabela4[],5,FALSE),"")</f>
        <v>0</v>
      </c>
      <c r="M350" s="22">
        <f>VLOOKUP(consArgamassa[[#This Row],[RecebID]],recebArgamassa[],14,FALSE)</f>
        <v>464.75</v>
      </c>
      <c r="N350" s="22">
        <f>IFERROR(VLOOKUP(consArgamassa[[#This Row],[Serviço]],Tabela4[],6,FALSE),"")</f>
        <v>500</v>
      </c>
      <c r="O350" s="1" t="s">
        <v>274</v>
      </c>
      <c r="P350" s="13">
        <v>36892</v>
      </c>
    </row>
    <row r="351" spans="1:16" x14ac:dyDescent="0.25">
      <c r="A351" s="1" t="s">
        <v>226</v>
      </c>
      <c r="B351" s="7" t="str">
        <f>CONCATENATE("CNSARG",TEXT(consArgamassa[[#This Row],[Ordem]],"00000"))</f>
        <v>CNSARG00870</v>
      </c>
      <c r="C351" s="7">
        <v>870</v>
      </c>
      <c r="D351" s="10">
        <f>VLOOKUP(consArgamassa[[#This Row],[RecebID]],recebArgamassa[[RecebID]:[Insumo]],3,FALSE)</f>
        <v>45063.125</v>
      </c>
      <c r="E351" s="7" t="str">
        <f>VLOOKUP(consArgamassa[[#This Row],[RecebID]],recebArgamassa[[RecebID]:[Insumo]],4,FALSE)</f>
        <v>Argamassa Estabilizada</v>
      </c>
      <c r="F351" s="1" t="s">
        <v>247</v>
      </c>
      <c r="G351" s="1" t="s">
        <v>256</v>
      </c>
      <c r="H351" s="1">
        <v>3</v>
      </c>
      <c r="I351" s="1" t="s">
        <v>9</v>
      </c>
      <c r="K351" s="2">
        <v>1.5</v>
      </c>
      <c r="L351" s="23">
        <f>IFERROR(VLOOKUP(consArgamassa[[#This Row],[Serviço]],Tabela4[],5,FALSE),"")</f>
        <v>0</v>
      </c>
      <c r="M351" s="22">
        <f>VLOOKUP(consArgamassa[[#This Row],[RecebID]],recebArgamassa[],14,FALSE)</f>
        <v>464.75</v>
      </c>
      <c r="N351" s="22">
        <f>IFERROR(VLOOKUP(consArgamassa[[#This Row],[Serviço]],Tabela4[],6,FALSE),"")</f>
        <v>500</v>
      </c>
      <c r="O351" s="1" t="s">
        <v>274</v>
      </c>
      <c r="P351" s="13">
        <v>36892</v>
      </c>
    </row>
    <row r="352" spans="1:16" x14ac:dyDescent="0.25">
      <c r="A352" s="1" t="s">
        <v>227</v>
      </c>
      <c r="B352" s="7" t="str">
        <f>CONCATENATE("CNSARG",TEXT(consArgamassa[[#This Row],[Ordem]],"00000"))</f>
        <v>CNSARG00871</v>
      </c>
      <c r="C352" s="7">
        <v>871</v>
      </c>
      <c r="D352" s="10">
        <f>VLOOKUP(consArgamassa[[#This Row],[RecebID]],recebArgamassa[[RecebID]:[Insumo]],3,FALSE)</f>
        <v>45068.125</v>
      </c>
      <c r="E352" s="7" t="str">
        <f>VLOOKUP(consArgamassa[[#This Row],[RecebID]],recebArgamassa[[RecebID]:[Insumo]],4,FALSE)</f>
        <v>Argamassa Estabilizada</v>
      </c>
      <c r="F352" s="1" t="s">
        <v>247</v>
      </c>
      <c r="G352" s="1" t="s">
        <v>256</v>
      </c>
      <c r="H352" s="1">
        <v>3</v>
      </c>
      <c r="I352" s="1" t="s">
        <v>8</v>
      </c>
      <c r="K352" s="2">
        <v>1.5</v>
      </c>
      <c r="L352" s="23">
        <f>IFERROR(VLOOKUP(consArgamassa[[#This Row],[Serviço]],Tabela4[],5,FALSE),"")</f>
        <v>0</v>
      </c>
      <c r="M352" s="22">
        <f>VLOOKUP(consArgamassa[[#This Row],[RecebID]],recebArgamassa[],14,FALSE)</f>
        <v>464.75</v>
      </c>
      <c r="N352" s="22">
        <f>IFERROR(VLOOKUP(consArgamassa[[#This Row],[Serviço]],Tabela4[],6,FALSE),"")</f>
        <v>500</v>
      </c>
      <c r="O352" s="1" t="s">
        <v>274</v>
      </c>
      <c r="P352" s="13">
        <v>36892</v>
      </c>
    </row>
    <row r="353" spans="1:16" x14ac:dyDescent="0.25">
      <c r="A353" s="1" t="s">
        <v>228</v>
      </c>
      <c r="B353" s="7" t="str">
        <f>CONCATENATE("CNSARG",TEXT(consArgamassa[[#This Row],[Ordem]],"00000"))</f>
        <v>CNSARG00872</v>
      </c>
      <c r="C353" s="7">
        <v>872</v>
      </c>
      <c r="D353" s="10">
        <f>VLOOKUP(consArgamassa[[#This Row],[RecebID]],recebArgamassa[[RecebID]:[Insumo]],3,FALSE)</f>
        <v>45069.125</v>
      </c>
      <c r="E353" s="7" t="str">
        <f>VLOOKUP(consArgamassa[[#This Row],[RecebID]],recebArgamassa[[RecebID]:[Insumo]],4,FALSE)</f>
        <v>Argamassa Estabilizada</v>
      </c>
      <c r="F353" s="1" t="s">
        <v>264</v>
      </c>
      <c r="G353" s="1" t="s">
        <v>255</v>
      </c>
      <c r="H353" s="1">
        <v>1</v>
      </c>
      <c r="I353" s="1" t="s">
        <v>9</v>
      </c>
      <c r="K353" s="2">
        <v>2</v>
      </c>
      <c r="L353" s="23">
        <f>IFERROR(VLOOKUP(consArgamassa[[#This Row],[Serviço]],Tabela4[],5,FALSE),"")</f>
        <v>1.3352499999999998</v>
      </c>
      <c r="M353" s="22">
        <f>VLOOKUP(consArgamassa[[#This Row],[RecebID]],recebArgamassa[],14,FALSE)</f>
        <v>464.75</v>
      </c>
      <c r="N353" s="22">
        <f>IFERROR(VLOOKUP(consArgamassa[[#This Row],[Serviço]],Tabela4[],6,FALSE),"")</f>
        <v>500</v>
      </c>
      <c r="O353" s="1" t="s">
        <v>274</v>
      </c>
      <c r="P353" s="13">
        <v>36892</v>
      </c>
    </row>
    <row r="354" spans="1:16" x14ac:dyDescent="0.25">
      <c r="A354" s="1" t="s">
        <v>230</v>
      </c>
      <c r="B354" s="7" t="str">
        <f>CONCATENATE("CNSARG",TEXT(consArgamassa[[#This Row],[Ordem]],"00000"))</f>
        <v>CNSARG00874</v>
      </c>
      <c r="C354" s="7">
        <v>874</v>
      </c>
      <c r="D354" s="10">
        <f>VLOOKUP(consArgamassa[[#This Row],[RecebID]],recebArgamassa[[RecebID]:[Insumo]],3,FALSE)</f>
        <v>45075.125</v>
      </c>
      <c r="E354" s="7" t="str">
        <f>VLOOKUP(consArgamassa[[#This Row],[RecebID]],recebArgamassa[[RecebID]:[Insumo]],4,FALSE)</f>
        <v>Argamassa Estabilizada</v>
      </c>
      <c r="F354" s="1" t="s">
        <v>253</v>
      </c>
      <c r="G354" s="1" t="s">
        <v>256</v>
      </c>
      <c r="I354" s="1" t="s">
        <v>10</v>
      </c>
      <c r="J354" s="1" t="s">
        <v>244</v>
      </c>
      <c r="K354" s="2">
        <v>1</v>
      </c>
      <c r="L354" s="23">
        <f>IFERROR(VLOOKUP(consArgamassa[[#This Row],[Serviço]],Tabela4[],5,FALSE),"")</f>
        <v>0</v>
      </c>
      <c r="M354" s="22">
        <f>VLOOKUP(consArgamassa[[#This Row],[RecebID]],recebArgamassa[],14,FALSE)</f>
        <v>464.75</v>
      </c>
      <c r="N354" s="22">
        <f>IFERROR(VLOOKUP(consArgamassa[[#This Row],[Serviço]],Tabela4[],6,FALSE),"")</f>
        <v>500</v>
      </c>
      <c r="O354" s="1" t="s">
        <v>274</v>
      </c>
      <c r="P354" s="13">
        <v>36892</v>
      </c>
    </row>
    <row r="355" spans="1:16" x14ac:dyDescent="0.25">
      <c r="A355" s="1" t="s">
        <v>233</v>
      </c>
      <c r="B355" s="7" t="str">
        <f>CONCATENATE("CNSARG",TEXT(consArgamassa[[#This Row],[Ordem]],"00000"))</f>
        <v>CNSARG00877</v>
      </c>
      <c r="C355" s="7">
        <v>877</v>
      </c>
      <c r="D355" s="10">
        <f>VLOOKUP(consArgamassa[[#This Row],[RecebID]],recebArgamassa[[RecebID]:[Insumo]],3,FALSE)</f>
        <v>44197</v>
      </c>
      <c r="E355" s="7" t="str">
        <f>VLOOKUP(consArgamassa[[#This Row],[RecebID]],recebArgamassa[[RecebID]:[Insumo]],4,FALSE)</f>
        <v>Argamassa Estabilizada</v>
      </c>
      <c r="F355" s="1" t="s">
        <v>248</v>
      </c>
      <c r="G355" s="1" t="s">
        <v>256</v>
      </c>
      <c r="H355" s="1">
        <v>3</v>
      </c>
      <c r="I355" s="1" t="s">
        <v>238</v>
      </c>
      <c r="J355" s="1" t="s">
        <v>238</v>
      </c>
      <c r="K355" s="2">
        <v>1</v>
      </c>
      <c r="L355" s="23">
        <f>IFERROR(VLOOKUP(consArgamassa[[#This Row],[Serviço]],Tabela4[],5,FALSE),"")</f>
        <v>1.98</v>
      </c>
      <c r="M355" s="22">
        <f>VLOOKUP(consArgamassa[[#This Row],[RecebID]],recebArgamassa[],14,FALSE)</f>
        <v>464.75</v>
      </c>
      <c r="N355" s="22">
        <f>IFERROR(VLOOKUP(consArgamassa[[#This Row],[Serviço]],Tabela4[],6,FALSE),"")</f>
        <v>500</v>
      </c>
      <c r="O355" s="1" t="s">
        <v>274</v>
      </c>
      <c r="P355" s="13">
        <v>36892</v>
      </c>
    </row>
    <row r="356" spans="1:16" x14ac:dyDescent="0.25">
      <c r="A356" s="1" t="s">
        <v>234</v>
      </c>
      <c r="B356" s="7" t="str">
        <f>CONCATENATE("CNSARG",TEXT(consArgamassa[[#This Row],[Ordem]],"00000"))</f>
        <v>CNSARG00878</v>
      </c>
      <c r="C356" s="7">
        <v>878</v>
      </c>
      <c r="D356" s="10">
        <f>VLOOKUP(consArgamassa[[#This Row],[RecebID]],recebArgamassa[[RecebID]:[Insumo]],3,FALSE)</f>
        <v>45077.125</v>
      </c>
      <c r="E356" s="7" t="str">
        <f>VLOOKUP(consArgamassa[[#This Row],[RecebID]],recebArgamassa[[RecebID]:[Insumo]],4,FALSE)</f>
        <v>Argamassa Estabilizada</v>
      </c>
      <c r="F356" s="1" t="s">
        <v>248</v>
      </c>
      <c r="G356" s="1" t="s">
        <v>256</v>
      </c>
      <c r="H356" s="1">
        <v>3</v>
      </c>
      <c r="I356" s="1" t="s">
        <v>238</v>
      </c>
      <c r="J356" s="1" t="s">
        <v>238</v>
      </c>
      <c r="K356" s="2">
        <v>1</v>
      </c>
      <c r="L356" s="23">
        <f>IFERROR(VLOOKUP(consArgamassa[[#This Row],[Serviço]],Tabela4[],5,FALSE),"")</f>
        <v>1.98</v>
      </c>
      <c r="M356" s="22">
        <f>VLOOKUP(consArgamassa[[#This Row],[RecebID]],recebArgamassa[],14,FALSE)</f>
        <v>464.75</v>
      </c>
      <c r="N356" s="22">
        <f>IFERROR(VLOOKUP(consArgamassa[[#This Row],[Serviço]],Tabela4[],6,FALSE),"")</f>
        <v>500</v>
      </c>
      <c r="O356" s="1" t="s">
        <v>274</v>
      </c>
      <c r="P356" s="13">
        <v>36892</v>
      </c>
    </row>
    <row r="357" spans="1:16" x14ac:dyDescent="0.25">
      <c r="A357" s="1" t="s">
        <v>236</v>
      </c>
      <c r="B357" s="7" t="str">
        <f>CONCATENATE("CNSARG",TEXT(consArgamassa[[#This Row],[Ordem]],"00000"))</f>
        <v>CNSARG00880</v>
      </c>
      <c r="C357" s="7">
        <v>880</v>
      </c>
      <c r="D357" s="10">
        <f>VLOOKUP(consArgamassa[[#This Row],[RecebID]],recebArgamassa[[RecebID]:[Insumo]],3,FALSE)</f>
        <v>45082.125</v>
      </c>
      <c r="E357" s="7" t="str">
        <f>VLOOKUP(consArgamassa[[#This Row],[RecebID]],recebArgamassa[[RecebID]:[Insumo]],4,FALSE)</f>
        <v>Argamassa Estabilizada</v>
      </c>
      <c r="F357" s="1" t="s">
        <v>247</v>
      </c>
      <c r="G357" s="1" t="s">
        <v>255</v>
      </c>
      <c r="H357" s="1">
        <v>2</v>
      </c>
      <c r="I357" s="1" t="s">
        <v>9</v>
      </c>
      <c r="K357" s="2">
        <v>1.5</v>
      </c>
      <c r="L357" s="23">
        <f>IFERROR(VLOOKUP(consArgamassa[[#This Row],[Serviço]],Tabela4[],5,FALSE),"")</f>
        <v>0</v>
      </c>
      <c r="M357" s="22">
        <f>VLOOKUP(consArgamassa[[#This Row],[RecebID]],recebArgamassa[],14,FALSE)</f>
        <v>464.75</v>
      </c>
      <c r="N357" s="22">
        <f>IFERROR(VLOOKUP(consArgamassa[[#This Row],[Serviço]],Tabela4[],6,FALSE),"")</f>
        <v>500</v>
      </c>
      <c r="O357" s="1" t="s">
        <v>274</v>
      </c>
      <c r="P357" s="13">
        <v>36892</v>
      </c>
    </row>
    <row r="358" spans="1:16" x14ac:dyDescent="0.25">
      <c r="A358" s="1" t="s">
        <v>186</v>
      </c>
      <c r="B358" s="7" t="str">
        <f>CONCATENATE("CNSARG",TEXT(consArgamassa[[#This Row],[Ordem]],"00000"))</f>
        <v>CNSARG01049</v>
      </c>
      <c r="C358" s="7">
        <v>1049</v>
      </c>
      <c r="D358" s="10">
        <f>VLOOKUP(consArgamassa[[#This Row],[RecebID]],recebArgamassa[[RecebID]:[Insumo]],3,FALSE)</f>
        <v>44999.125</v>
      </c>
      <c r="E358" s="7" t="str">
        <f>VLOOKUP(consArgamassa[[#This Row],[RecebID]],recebArgamassa[[RecebID]:[Insumo]],4,FALSE)</f>
        <v>Argamassa Estabilizada</v>
      </c>
      <c r="F358" s="1" t="s">
        <v>247</v>
      </c>
      <c r="G358" s="1" t="s">
        <v>255</v>
      </c>
      <c r="H358" s="1">
        <v>6</v>
      </c>
      <c r="I358" s="1" t="s">
        <v>9</v>
      </c>
      <c r="K358" s="2">
        <v>0.5</v>
      </c>
      <c r="L358" s="23">
        <f>IFERROR(VLOOKUP(consArgamassa[[#This Row],[Serviço]],Tabela4[],5,FALSE),"")</f>
        <v>0</v>
      </c>
      <c r="M358" s="22">
        <f>VLOOKUP(consArgamassa[[#This Row],[RecebID]],recebArgamassa[],14,FALSE)</f>
        <v>464.75</v>
      </c>
      <c r="N358" s="22">
        <f>IFERROR(VLOOKUP(consArgamassa[[#This Row],[Serviço]],Tabela4[],6,FALSE),"")</f>
        <v>500</v>
      </c>
      <c r="O358" s="1" t="s">
        <v>274</v>
      </c>
      <c r="P358" s="13">
        <v>36892</v>
      </c>
    </row>
    <row r="359" spans="1:16" x14ac:dyDescent="0.25">
      <c r="A359" s="1" t="s">
        <v>187</v>
      </c>
      <c r="B359" s="7" t="str">
        <f>CONCATENATE("CNSARG",TEXT(consArgamassa[[#This Row],[Ordem]],"00000"))</f>
        <v>CNSARG01050</v>
      </c>
      <c r="C359" s="7">
        <v>1050</v>
      </c>
      <c r="D359" s="10">
        <f>VLOOKUP(consArgamassa[[#This Row],[RecebID]],recebArgamassa[[RecebID]:[Insumo]],3,FALSE)</f>
        <v>45000.125</v>
      </c>
      <c r="E359" s="7" t="str">
        <f>VLOOKUP(consArgamassa[[#This Row],[RecebID]],recebArgamassa[[RecebID]:[Insumo]],4,FALSE)</f>
        <v>Argamassa Estabilizada</v>
      </c>
      <c r="F359" s="1" t="s">
        <v>247</v>
      </c>
      <c r="G359" s="1" t="s">
        <v>256</v>
      </c>
      <c r="H359" s="1">
        <v>5</v>
      </c>
      <c r="I359" s="1" t="s">
        <v>8</v>
      </c>
      <c r="K359" s="2">
        <v>1</v>
      </c>
      <c r="L359" s="23">
        <f>IFERROR(VLOOKUP(consArgamassa[[#This Row],[Serviço]],Tabela4[],5,FALSE),"")</f>
        <v>0</v>
      </c>
      <c r="M359" s="22">
        <f>VLOOKUP(consArgamassa[[#This Row],[RecebID]],recebArgamassa[],14,FALSE)</f>
        <v>464.75</v>
      </c>
      <c r="N359" s="22">
        <f>IFERROR(VLOOKUP(consArgamassa[[#This Row],[Serviço]],Tabela4[],6,FALSE),"")</f>
        <v>500</v>
      </c>
      <c r="O359" s="1" t="s">
        <v>274</v>
      </c>
      <c r="P359" s="13">
        <v>36892</v>
      </c>
    </row>
    <row r="360" spans="1:16" x14ac:dyDescent="0.25">
      <c r="A360" s="1" t="s">
        <v>190</v>
      </c>
      <c r="B360" s="7" t="str">
        <f>CONCATENATE("CNSARG",TEXT(consArgamassa[[#This Row],[Ordem]],"00000"))</f>
        <v>CNSARG01053</v>
      </c>
      <c r="C360" s="7">
        <v>1053</v>
      </c>
      <c r="D360" s="10">
        <f>VLOOKUP(consArgamassa[[#This Row],[RecebID]],recebArgamassa[[RecebID]:[Insumo]],3,FALSE)</f>
        <v>45005.125</v>
      </c>
      <c r="E360" s="7" t="str">
        <f>VLOOKUP(consArgamassa[[#This Row],[RecebID]],recebArgamassa[[RecebID]:[Insumo]],4,FALSE)</f>
        <v>Argamassa Estabilizada</v>
      </c>
      <c r="F360" s="1" t="s">
        <v>250</v>
      </c>
      <c r="G360" s="1" t="s">
        <v>270</v>
      </c>
      <c r="H360" s="1" t="s">
        <v>297</v>
      </c>
      <c r="I360" s="1" t="s">
        <v>10</v>
      </c>
      <c r="J360" s="1" t="s">
        <v>246</v>
      </c>
      <c r="K360" s="2">
        <v>1</v>
      </c>
      <c r="L360" s="23">
        <f>IFERROR(VLOOKUP(consArgamassa[[#This Row],[Serviço]],Tabela4[],5,FALSE),"")</f>
        <v>0</v>
      </c>
      <c r="M360" s="22">
        <f>VLOOKUP(consArgamassa[[#This Row],[RecebID]],recebArgamassa[],14,FALSE)</f>
        <v>464.75</v>
      </c>
      <c r="N360" s="22">
        <f>IFERROR(VLOOKUP(consArgamassa[[#This Row],[Serviço]],Tabela4[],6,FALSE),"")</f>
        <v>500</v>
      </c>
      <c r="O360" s="1" t="s">
        <v>274</v>
      </c>
      <c r="P360" s="13">
        <v>36892</v>
      </c>
    </row>
    <row r="361" spans="1:16" x14ac:dyDescent="0.25">
      <c r="A361" s="1" t="s">
        <v>191</v>
      </c>
      <c r="B361" s="7" t="str">
        <f>CONCATENATE("CNSARG",TEXT(consArgamassa[[#This Row],[Ordem]],"00000"))</f>
        <v>CNSARG01054</v>
      </c>
      <c r="C361" s="7">
        <v>1054</v>
      </c>
      <c r="D361" s="10">
        <f>VLOOKUP(consArgamassa[[#This Row],[RecebID]],recebArgamassa[[RecebID]:[Insumo]],3,FALSE)</f>
        <v>45006.125</v>
      </c>
      <c r="E361" s="7" t="str">
        <f>VLOOKUP(consArgamassa[[#This Row],[RecebID]],recebArgamassa[[RecebID]:[Insumo]],4,FALSE)</f>
        <v>Argamassa Estabilizada</v>
      </c>
      <c r="F361" s="1" t="s">
        <v>264</v>
      </c>
      <c r="G361" s="1" t="s">
        <v>255</v>
      </c>
      <c r="H361" s="1">
        <v>3</v>
      </c>
      <c r="I361" s="1" t="s">
        <v>7</v>
      </c>
      <c r="K361" s="2">
        <v>3</v>
      </c>
      <c r="L361" s="23">
        <f>IFERROR(VLOOKUP(consArgamassa[[#This Row],[Serviço]],Tabela4[],5,FALSE),"")</f>
        <v>1.3352499999999998</v>
      </c>
      <c r="M361" s="22">
        <f>VLOOKUP(consArgamassa[[#This Row],[RecebID]],recebArgamassa[],14,FALSE)</f>
        <v>464.75</v>
      </c>
      <c r="N361" s="22">
        <f>IFERROR(VLOOKUP(consArgamassa[[#This Row],[Serviço]],Tabela4[],6,FALSE),"")</f>
        <v>500</v>
      </c>
      <c r="O361" s="1" t="s">
        <v>274</v>
      </c>
      <c r="P361" s="13">
        <v>36892</v>
      </c>
    </row>
    <row r="362" spans="1:16" x14ac:dyDescent="0.25">
      <c r="A362" s="1" t="s">
        <v>192</v>
      </c>
      <c r="B362" s="7" t="str">
        <f>CONCATENATE("CNSARG",TEXT(consArgamassa[[#This Row],[Ordem]],"00000"))</f>
        <v>CNSARG01055</v>
      </c>
      <c r="C362" s="7">
        <v>1055</v>
      </c>
      <c r="D362" s="10">
        <f>VLOOKUP(consArgamassa[[#This Row],[RecebID]],recebArgamassa[[RecebID]:[Insumo]],3,FALSE)</f>
        <v>45007.125</v>
      </c>
      <c r="E362" s="7" t="str">
        <f>VLOOKUP(consArgamassa[[#This Row],[RecebID]],recebArgamassa[[RecebID]:[Insumo]],4,FALSE)</f>
        <v>Argamassa Estabilizada</v>
      </c>
      <c r="F362" s="1" t="s">
        <v>264</v>
      </c>
      <c r="G362" s="1" t="s">
        <v>255</v>
      </c>
      <c r="H362" s="1">
        <v>3</v>
      </c>
      <c r="I362" s="1" t="s">
        <v>10</v>
      </c>
      <c r="K362" s="2">
        <v>3</v>
      </c>
      <c r="L362" s="23">
        <f>IFERROR(VLOOKUP(consArgamassa[[#This Row],[Serviço]],Tabela4[],5,FALSE),"")</f>
        <v>1.3352499999999998</v>
      </c>
      <c r="M362" s="22">
        <f>VLOOKUP(consArgamassa[[#This Row],[RecebID]],recebArgamassa[],14,FALSE)</f>
        <v>464.75</v>
      </c>
      <c r="N362" s="22">
        <f>IFERROR(VLOOKUP(consArgamassa[[#This Row],[Serviço]],Tabela4[],6,FALSE),"")</f>
        <v>500</v>
      </c>
      <c r="O362" s="1" t="s">
        <v>274</v>
      </c>
      <c r="P362" s="13">
        <v>36892</v>
      </c>
    </row>
    <row r="363" spans="1:16" x14ac:dyDescent="0.25">
      <c r="A363" s="1" t="s">
        <v>193</v>
      </c>
      <c r="B363" s="7" t="str">
        <f>CONCATENATE("CNSARG",TEXT(consArgamassa[[#This Row],[Ordem]],"00000"))</f>
        <v>CNSARG01056</v>
      </c>
      <c r="C363" s="7">
        <v>1056</v>
      </c>
      <c r="D363" s="10">
        <f>VLOOKUP(consArgamassa[[#This Row],[RecebID]],recebArgamassa[[RecebID]:[Insumo]],3,FALSE)</f>
        <v>45008.125</v>
      </c>
      <c r="E363" s="7" t="str">
        <f>VLOOKUP(consArgamassa[[#This Row],[RecebID]],recebArgamassa[[RecebID]:[Insumo]],4,FALSE)</f>
        <v>Argamassa Estabilizada</v>
      </c>
      <c r="F363" s="1" t="s">
        <v>264</v>
      </c>
      <c r="G363" s="1" t="s">
        <v>256</v>
      </c>
      <c r="H363" s="1">
        <v>3</v>
      </c>
      <c r="I363" s="1" t="s">
        <v>8</v>
      </c>
      <c r="K363" s="2">
        <v>4</v>
      </c>
      <c r="L363" s="23">
        <f>IFERROR(VLOOKUP(consArgamassa[[#This Row],[Serviço]],Tabela4[],5,FALSE),"")</f>
        <v>1.3352499999999998</v>
      </c>
      <c r="M363" s="22">
        <f>VLOOKUP(consArgamassa[[#This Row],[RecebID]],recebArgamassa[],14,FALSE)</f>
        <v>464.75</v>
      </c>
      <c r="N363" s="22">
        <f>IFERROR(VLOOKUP(consArgamassa[[#This Row],[Serviço]],Tabela4[],6,FALSE),"")</f>
        <v>500</v>
      </c>
      <c r="O363" s="1" t="s">
        <v>274</v>
      </c>
      <c r="P363" s="13">
        <v>36892</v>
      </c>
    </row>
    <row r="364" spans="1:16" x14ac:dyDescent="0.25">
      <c r="A364" s="1" t="s">
        <v>195</v>
      </c>
      <c r="B364" s="7" t="str">
        <f>CONCATENATE("CNSARG",TEXT(consArgamassa[[#This Row],[Ordem]],"00000"))</f>
        <v>CNSARG01058</v>
      </c>
      <c r="C364" s="7">
        <v>1058</v>
      </c>
      <c r="D364" s="10">
        <f>VLOOKUP(consArgamassa[[#This Row],[RecebID]],recebArgamassa[[RecebID]:[Insumo]],3,FALSE)</f>
        <v>45012.125</v>
      </c>
      <c r="E364" s="7" t="str">
        <f>VLOOKUP(consArgamassa[[#This Row],[RecebID]],recebArgamassa[[RecebID]:[Insumo]],4,FALSE)</f>
        <v>Argamassa Estabilizada</v>
      </c>
      <c r="F364" s="1" t="s">
        <v>264</v>
      </c>
      <c r="G364" s="1" t="s">
        <v>255</v>
      </c>
      <c r="H364" s="1">
        <v>3</v>
      </c>
      <c r="I364" s="1" t="s">
        <v>10</v>
      </c>
      <c r="K364" s="2">
        <v>4</v>
      </c>
      <c r="L364" s="23">
        <f>IFERROR(VLOOKUP(consArgamassa[[#This Row],[Serviço]],Tabela4[],5,FALSE),"")</f>
        <v>1.3352499999999998</v>
      </c>
      <c r="M364" s="22">
        <f>VLOOKUP(consArgamassa[[#This Row],[RecebID]],recebArgamassa[],14,FALSE)</f>
        <v>464.75</v>
      </c>
      <c r="N364" s="22">
        <f>IFERROR(VLOOKUP(consArgamassa[[#This Row],[Serviço]],Tabela4[],6,FALSE),"")</f>
        <v>500</v>
      </c>
      <c r="O364" s="1" t="s">
        <v>274</v>
      </c>
      <c r="P364" s="13">
        <v>36892</v>
      </c>
    </row>
    <row r="365" spans="1:16" x14ac:dyDescent="0.25">
      <c r="A365" s="1" t="s">
        <v>198</v>
      </c>
      <c r="B365" s="7" t="str">
        <f>CONCATENATE("CNSARG",TEXT(consArgamassa[[#This Row],[Ordem]],"00000"))</f>
        <v>CNSARG01062</v>
      </c>
      <c r="C365" s="7">
        <v>1062</v>
      </c>
      <c r="D365" s="10">
        <f>VLOOKUP(consArgamassa[[#This Row],[RecebID]],recebArgamassa[[RecebID]:[Insumo]],3,FALSE)</f>
        <v>45014.125</v>
      </c>
      <c r="E365" s="7" t="str">
        <f>VLOOKUP(consArgamassa[[#This Row],[RecebID]],recebArgamassa[[RecebID]:[Insumo]],4,FALSE)</f>
        <v>Argamassa Estabilizada</v>
      </c>
      <c r="F365" s="1" t="s">
        <v>247</v>
      </c>
      <c r="G365" s="1" t="s">
        <v>255</v>
      </c>
      <c r="H365" s="1">
        <v>8</v>
      </c>
      <c r="I365" s="1" t="s">
        <v>7</v>
      </c>
      <c r="K365" s="2">
        <v>1</v>
      </c>
      <c r="L365" s="23">
        <f>IFERROR(VLOOKUP(consArgamassa[[#This Row],[Serviço]],Tabela4[],5,FALSE),"")</f>
        <v>0</v>
      </c>
      <c r="M365" s="22">
        <f>VLOOKUP(consArgamassa[[#This Row],[RecebID]],recebArgamassa[],14,FALSE)</f>
        <v>464.75</v>
      </c>
      <c r="N365" s="22">
        <f>IFERROR(VLOOKUP(consArgamassa[[#This Row],[Serviço]],Tabela4[],6,FALSE),"")</f>
        <v>500</v>
      </c>
      <c r="O365" s="1" t="s">
        <v>274</v>
      </c>
      <c r="P365" s="13">
        <v>36892</v>
      </c>
    </row>
    <row r="366" spans="1:16" x14ac:dyDescent="0.25">
      <c r="A366" s="1" t="s">
        <v>199</v>
      </c>
      <c r="B366" s="7" t="str">
        <f>CONCATENATE("CNSARG",TEXT(consArgamassa[[#This Row],[Ordem]],"00000"))</f>
        <v>CNSARG01063</v>
      </c>
      <c r="C366" s="7">
        <v>1063</v>
      </c>
      <c r="D366" s="10">
        <f>VLOOKUP(consArgamassa[[#This Row],[RecebID]],recebArgamassa[[RecebID]:[Insumo]],3,FALSE)</f>
        <v>45015.125</v>
      </c>
      <c r="E366" s="7" t="str">
        <f>VLOOKUP(consArgamassa[[#This Row],[RecebID]],recebArgamassa[[RecebID]:[Insumo]],4,FALSE)</f>
        <v>Argamassa Estabilizada</v>
      </c>
      <c r="F366" s="1" t="s">
        <v>247</v>
      </c>
      <c r="G366" s="1" t="s">
        <v>256</v>
      </c>
      <c r="H366" s="1">
        <v>7</v>
      </c>
      <c r="I366" s="1" t="s">
        <v>9</v>
      </c>
      <c r="K366" s="2">
        <v>1</v>
      </c>
      <c r="L366" s="23">
        <f>IFERROR(VLOOKUP(consArgamassa[[#This Row],[Serviço]],Tabela4[],5,FALSE),"")</f>
        <v>0</v>
      </c>
      <c r="M366" s="22">
        <f>VLOOKUP(consArgamassa[[#This Row],[RecebID]],recebArgamassa[],14,FALSE)</f>
        <v>464.75</v>
      </c>
      <c r="N366" s="22">
        <f>IFERROR(VLOOKUP(consArgamassa[[#This Row],[Serviço]],Tabela4[],6,FALSE),"")</f>
        <v>500</v>
      </c>
      <c r="O366" s="1" t="s">
        <v>274</v>
      </c>
      <c r="P366" s="13">
        <v>36892</v>
      </c>
    </row>
    <row r="367" spans="1:16" x14ac:dyDescent="0.25">
      <c r="A367" s="1" t="s">
        <v>200</v>
      </c>
      <c r="B367" s="7" t="str">
        <f>CONCATENATE("CNSARG",TEXT(consArgamassa[[#This Row],[Ordem]],"00000"))</f>
        <v>CNSARG01064</v>
      </c>
      <c r="C367" s="7">
        <v>1064</v>
      </c>
      <c r="D367" s="10">
        <f>VLOOKUP(consArgamassa[[#This Row],[RecebID]],recebArgamassa[[RecebID]:[Insumo]],3,FALSE)</f>
        <v>45016.125</v>
      </c>
      <c r="E367" s="7" t="str">
        <f>VLOOKUP(consArgamassa[[#This Row],[RecebID]],recebArgamassa[[RecebID]:[Insumo]],4,FALSE)</f>
        <v>Argamassa Estabilizada</v>
      </c>
      <c r="F367" s="1" t="s">
        <v>264</v>
      </c>
      <c r="G367" s="1" t="s">
        <v>256</v>
      </c>
      <c r="H367" s="1">
        <v>3</v>
      </c>
      <c r="I367" s="1" t="s">
        <v>10</v>
      </c>
      <c r="K367" s="2">
        <v>2</v>
      </c>
      <c r="L367" s="23">
        <f>IFERROR(VLOOKUP(consArgamassa[[#This Row],[Serviço]],Tabela4[],5,FALSE),"")</f>
        <v>1.3352499999999998</v>
      </c>
      <c r="M367" s="22">
        <f>VLOOKUP(consArgamassa[[#This Row],[RecebID]],recebArgamassa[],14,FALSE)</f>
        <v>464.75</v>
      </c>
      <c r="N367" s="22">
        <f>IFERROR(VLOOKUP(consArgamassa[[#This Row],[Serviço]],Tabela4[],6,FALSE),"")</f>
        <v>500</v>
      </c>
      <c r="O367" s="1" t="s">
        <v>274</v>
      </c>
      <c r="P367" s="13">
        <v>36892</v>
      </c>
    </row>
    <row r="368" spans="1:16" x14ac:dyDescent="0.25">
      <c r="A368" s="1" t="s">
        <v>201</v>
      </c>
      <c r="B368" s="7" t="str">
        <f>CONCATENATE("CNSARG",TEXT(consArgamassa[[#This Row],[Ordem]],"00000"))</f>
        <v>CNSARG01065</v>
      </c>
      <c r="C368" s="7">
        <v>1065</v>
      </c>
      <c r="D368" s="10">
        <f>VLOOKUP(consArgamassa[[#This Row],[RecebID]],recebArgamassa[[RecebID]:[Insumo]],3,FALSE)</f>
        <v>45019.125</v>
      </c>
      <c r="E368" s="7" t="str">
        <f>VLOOKUP(consArgamassa[[#This Row],[RecebID]],recebArgamassa[[RecebID]:[Insumo]],4,FALSE)</f>
        <v>Argamassa Estabilizada</v>
      </c>
      <c r="F368" s="1" t="s">
        <v>250</v>
      </c>
      <c r="G368" s="1" t="s">
        <v>256</v>
      </c>
      <c r="H368" s="1">
        <v>7</v>
      </c>
      <c r="I368" s="1" t="s">
        <v>238</v>
      </c>
      <c r="J368" s="1" t="s">
        <v>238</v>
      </c>
      <c r="K368" s="2">
        <v>1</v>
      </c>
      <c r="L368" s="23">
        <f>IFERROR(VLOOKUP(consArgamassa[[#This Row],[Serviço]],Tabela4[],5,FALSE),"")</f>
        <v>0</v>
      </c>
      <c r="M368" s="22">
        <f>VLOOKUP(consArgamassa[[#This Row],[RecebID]],recebArgamassa[],14,FALSE)</f>
        <v>464.75</v>
      </c>
      <c r="N368" s="22">
        <f>IFERROR(VLOOKUP(consArgamassa[[#This Row],[Serviço]],Tabela4[],6,FALSE),"")</f>
        <v>500</v>
      </c>
      <c r="O368" s="1" t="s">
        <v>274</v>
      </c>
      <c r="P368" s="13">
        <v>36892</v>
      </c>
    </row>
    <row r="369" spans="1:16" x14ac:dyDescent="0.25">
      <c r="A369" s="1" t="s">
        <v>202</v>
      </c>
      <c r="B369" s="7" t="str">
        <f>CONCATENATE("CNSARG",TEXT(consArgamassa[[#This Row],[Ordem]],"00000"))</f>
        <v>CNSARG01066</v>
      </c>
      <c r="C369" s="7">
        <v>1066</v>
      </c>
      <c r="D369" s="10">
        <f>VLOOKUP(consArgamassa[[#This Row],[RecebID]],recebArgamassa[[RecebID]:[Insumo]],3,FALSE)</f>
        <v>45020.125</v>
      </c>
      <c r="E369" s="7" t="str">
        <f>VLOOKUP(consArgamassa[[#This Row],[RecebID]],recebArgamassa[[RecebID]:[Insumo]],4,FALSE)</f>
        <v>Argamassa Estabilizada</v>
      </c>
      <c r="F369" s="1" t="s">
        <v>247</v>
      </c>
      <c r="G369" s="1" t="s">
        <v>255</v>
      </c>
      <c r="H369" s="1">
        <v>2</v>
      </c>
      <c r="I369" s="1" t="s">
        <v>9</v>
      </c>
      <c r="K369" s="2">
        <v>1.5</v>
      </c>
      <c r="L369" s="23">
        <f>IFERROR(VLOOKUP(consArgamassa[[#This Row],[Serviço]],Tabela4[],5,FALSE),"")</f>
        <v>0</v>
      </c>
      <c r="M369" s="22">
        <f>VLOOKUP(consArgamassa[[#This Row],[RecebID]],recebArgamassa[],14,FALSE)</f>
        <v>464.75</v>
      </c>
      <c r="N369" s="22">
        <f>IFERROR(VLOOKUP(consArgamassa[[#This Row],[Serviço]],Tabela4[],6,FALSE),"")</f>
        <v>500</v>
      </c>
      <c r="O369" s="1" t="s">
        <v>274</v>
      </c>
      <c r="P369" s="13">
        <v>36892</v>
      </c>
    </row>
    <row r="370" spans="1:16" x14ac:dyDescent="0.25">
      <c r="A370" s="1" t="s">
        <v>204</v>
      </c>
      <c r="B370" s="7" t="str">
        <f>CONCATENATE("CNSARG",TEXT(consArgamassa[[#This Row],[Ordem]],"00000"))</f>
        <v>CNSARG01068</v>
      </c>
      <c r="C370" s="7">
        <v>1068</v>
      </c>
      <c r="D370" s="10">
        <f>VLOOKUP(consArgamassa[[#This Row],[RecebID]],recebArgamassa[[RecebID]:[Insumo]],3,FALSE)</f>
        <v>45026.125</v>
      </c>
      <c r="E370" s="7" t="str">
        <f>VLOOKUP(consArgamassa[[#This Row],[RecebID]],recebArgamassa[[RecebID]:[Insumo]],4,FALSE)</f>
        <v>Argamassa Estabilizada</v>
      </c>
      <c r="F370" s="1" t="s">
        <v>250</v>
      </c>
      <c r="G370" s="1" t="s">
        <v>270</v>
      </c>
      <c r="H370" s="1" t="s">
        <v>296</v>
      </c>
      <c r="I370" s="1" t="s">
        <v>10</v>
      </c>
      <c r="J370" s="1" t="s">
        <v>243</v>
      </c>
      <c r="K370" s="2">
        <v>1</v>
      </c>
      <c r="L370" s="23">
        <f>IFERROR(VLOOKUP(consArgamassa[[#This Row],[Serviço]],Tabela4[],5,FALSE),"")</f>
        <v>0</v>
      </c>
      <c r="M370" s="22">
        <f>VLOOKUP(consArgamassa[[#This Row],[RecebID]],recebArgamassa[],14,FALSE)</f>
        <v>464.75</v>
      </c>
      <c r="N370" s="22">
        <f>IFERROR(VLOOKUP(consArgamassa[[#This Row],[Serviço]],Tabela4[],6,FALSE),"")</f>
        <v>500</v>
      </c>
      <c r="O370" s="1" t="s">
        <v>274</v>
      </c>
      <c r="P370" s="13">
        <v>36892</v>
      </c>
    </row>
    <row r="371" spans="1:16" x14ac:dyDescent="0.25">
      <c r="A371" s="1" t="s">
        <v>205</v>
      </c>
      <c r="B371" s="7" t="str">
        <f>CONCATENATE("CNSARG",TEXT(consArgamassa[[#This Row],[Ordem]],"00000"))</f>
        <v>CNSARG01069</v>
      </c>
      <c r="C371" s="7">
        <v>1069</v>
      </c>
      <c r="D371" s="10">
        <f>VLOOKUP(consArgamassa[[#This Row],[RecebID]],recebArgamassa[[RecebID]:[Insumo]],3,FALSE)</f>
        <v>45027.125</v>
      </c>
      <c r="E371" s="7" t="str">
        <f>VLOOKUP(consArgamassa[[#This Row],[RecebID]],recebArgamassa[[RecebID]:[Insumo]],4,FALSE)</f>
        <v>Argamassa Estabilizada</v>
      </c>
      <c r="F371" s="1" t="s">
        <v>247</v>
      </c>
      <c r="G371" s="1" t="s">
        <v>255</v>
      </c>
      <c r="H371" s="1">
        <v>9</v>
      </c>
      <c r="I371" s="1" t="s">
        <v>10</v>
      </c>
      <c r="K371" s="2">
        <v>2</v>
      </c>
      <c r="L371" s="23">
        <f>IFERROR(VLOOKUP(consArgamassa[[#This Row],[Serviço]],Tabela4[],5,FALSE),"")</f>
        <v>0</v>
      </c>
      <c r="M371" s="22">
        <f>VLOOKUP(consArgamassa[[#This Row],[RecebID]],recebArgamassa[],14,FALSE)</f>
        <v>464.75</v>
      </c>
      <c r="N371" s="22">
        <f>IFERROR(VLOOKUP(consArgamassa[[#This Row],[Serviço]],Tabela4[],6,FALSE),"")</f>
        <v>500</v>
      </c>
      <c r="O371" s="1" t="s">
        <v>274</v>
      </c>
      <c r="P371" s="13">
        <v>36892</v>
      </c>
    </row>
    <row r="372" spans="1:16" x14ac:dyDescent="0.25">
      <c r="A372" s="1" t="s">
        <v>206</v>
      </c>
      <c r="B372" s="7" t="str">
        <f>CONCATENATE("CNSARG",TEXT(consArgamassa[[#This Row],[Ordem]],"00000"))</f>
        <v>CNSARG01070</v>
      </c>
      <c r="C372" s="7">
        <v>1070</v>
      </c>
      <c r="D372" s="10">
        <f>VLOOKUP(consArgamassa[[#This Row],[RecebID]],recebArgamassa[[RecebID]:[Insumo]],3,FALSE)</f>
        <v>45028.125</v>
      </c>
      <c r="E372" s="7" t="str">
        <f>VLOOKUP(consArgamassa[[#This Row],[RecebID]],recebArgamassa[[RecebID]:[Insumo]],4,FALSE)</f>
        <v>Argamassa Estabilizada</v>
      </c>
      <c r="F372" s="1" t="s">
        <v>247</v>
      </c>
      <c r="G372" s="1" t="s">
        <v>255</v>
      </c>
      <c r="H372" s="1">
        <v>10</v>
      </c>
      <c r="I372" s="1" t="s">
        <v>8</v>
      </c>
      <c r="K372" s="2">
        <v>1</v>
      </c>
      <c r="L372" s="23">
        <f>IFERROR(VLOOKUP(consArgamassa[[#This Row],[Serviço]],Tabela4[],5,FALSE),"")</f>
        <v>0</v>
      </c>
      <c r="M372" s="22">
        <f>VLOOKUP(consArgamassa[[#This Row],[RecebID]],recebArgamassa[],14,FALSE)</f>
        <v>464.75</v>
      </c>
      <c r="N372" s="22">
        <f>IFERROR(VLOOKUP(consArgamassa[[#This Row],[Serviço]],Tabela4[],6,FALSE),"")</f>
        <v>500</v>
      </c>
      <c r="O372" s="1" t="s">
        <v>274</v>
      </c>
      <c r="P372" s="13">
        <v>36892</v>
      </c>
    </row>
    <row r="373" spans="1:16" x14ac:dyDescent="0.25">
      <c r="A373" s="1" t="s">
        <v>207</v>
      </c>
      <c r="B373" s="7" t="str">
        <f>CONCATENATE("CNSARG",TEXT(consArgamassa[[#This Row],[Ordem]],"00000"))</f>
        <v>CNSARG01071</v>
      </c>
      <c r="C373" s="7">
        <v>1071</v>
      </c>
      <c r="D373" s="10">
        <f>VLOOKUP(consArgamassa[[#This Row],[RecebID]],recebArgamassa[[RecebID]:[Insumo]],3,FALSE)</f>
        <v>45029.125</v>
      </c>
      <c r="E373" s="7" t="str">
        <f>VLOOKUP(consArgamassa[[#This Row],[RecebID]],recebArgamassa[[RecebID]:[Insumo]],4,FALSE)</f>
        <v>Argamassa Estabilizada</v>
      </c>
      <c r="F373" s="1" t="s">
        <v>239</v>
      </c>
      <c r="G373" s="1" t="s">
        <v>270</v>
      </c>
      <c r="H373" s="1" t="s">
        <v>297</v>
      </c>
      <c r="I373" s="1" t="s">
        <v>10</v>
      </c>
      <c r="J373" s="1" t="s">
        <v>239</v>
      </c>
      <c r="K373" s="2">
        <v>1</v>
      </c>
      <c r="L373" s="23">
        <f>IFERROR(VLOOKUP(consArgamassa[[#This Row],[Serviço]],Tabela4[],5,FALSE),"")</f>
        <v>0</v>
      </c>
      <c r="M373" s="22">
        <f>VLOOKUP(consArgamassa[[#This Row],[RecebID]],recebArgamassa[],14,FALSE)</f>
        <v>464.75</v>
      </c>
      <c r="N373" s="22">
        <f>IFERROR(VLOOKUP(consArgamassa[[#This Row],[Serviço]],Tabela4[],6,FALSE),"")</f>
        <v>500</v>
      </c>
      <c r="O373" s="1" t="s">
        <v>274</v>
      </c>
      <c r="P373" s="13">
        <v>36892</v>
      </c>
    </row>
    <row r="374" spans="1:16" x14ac:dyDescent="0.25">
      <c r="A374" s="1" t="s">
        <v>208</v>
      </c>
      <c r="B374" s="7" t="str">
        <f>CONCATENATE("CNSARG",TEXT(consArgamassa[[#This Row],[Ordem]],"00000"))</f>
        <v>CNSARG01072</v>
      </c>
      <c r="C374" s="7">
        <v>1072</v>
      </c>
      <c r="D374" s="10">
        <f>VLOOKUP(consArgamassa[[#This Row],[RecebID]],recebArgamassa[[RecebID]:[Insumo]],3,FALSE)</f>
        <v>45030.125</v>
      </c>
      <c r="E374" s="7" t="str">
        <f>VLOOKUP(consArgamassa[[#This Row],[RecebID]],recebArgamassa[[RecebID]:[Insumo]],4,FALSE)</f>
        <v>Argamassa Estabilizada</v>
      </c>
      <c r="F374" s="1" t="s">
        <v>247</v>
      </c>
      <c r="G374" s="1" t="s">
        <v>255</v>
      </c>
      <c r="H374" s="1">
        <v>7</v>
      </c>
      <c r="I374" s="1" t="s">
        <v>10</v>
      </c>
      <c r="K374" s="2">
        <v>1</v>
      </c>
      <c r="L374" s="23">
        <f>IFERROR(VLOOKUP(consArgamassa[[#This Row],[Serviço]],Tabela4[],5,FALSE),"")</f>
        <v>0</v>
      </c>
      <c r="M374" s="22">
        <f>VLOOKUP(consArgamassa[[#This Row],[RecebID]],recebArgamassa[],14,FALSE)</f>
        <v>464.75</v>
      </c>
      <c r="N374" s="22">
        <f>IFERROR(VLOOKUP(consArgamassa[[#This Row],[Serviço]],Tabela4[],6,FALSE),"")</f>
        <v>500</v>
      </c>
      <c r="O374" s="1" t="s">
        <v>274</v>
      </c>
      <c r="P374" s="13">
        <v>36892</v>
      </c>
    </row>
    <row r="375" spans="1:16" x14ac:dyDescent="0.25">
      <c r="A375" s="1" t="s">
        <v>210</v>
      </c>
      <c r="B375" s="7" t="str">
        <f>CONCATENATE("CNSARG",TEXT(consArgamassa[[#This Row],[Ordem]],"00000"))</f>
        <v>CNSARG01074</v>
      </c>
      <c r="C375" s="7">
        <v>1074</v>
      </c>
      <c r="D375" s="10">
        <f>VLOOKUP(consArgamassa[[#This Row],[RecebID]],recebArgamassa[[RecebID]:[Insumo]],3,FALSE)</f>
        <v>45034.125</v>
      </c>
      <c r="E375" s="7" t="str">
        <f>VLOOKUP(consArgamassa[[#This Row],[RecebID]],recebArgamassa[[RecebID]:[Insumo]],4,FALSE)</f>
        <v>Argamassa Estabilizada</v>
      </c>
      <c r="F375" s="1" t="s">
        <v>247</v>
      </c>
      <c r="G375" s="1" t="s">
        <v>256</v>
      </c>
      <c r="H375" s="1">
        <v>9</v>
      </c>
      <c r="I375" s="1" t="s">
        <v>9</v>
      </c>
      <c r="K375" s="2">
        <v>1.5</v>
      </c>
      <c r="L375" s="23">
        <f>IFERROR(VLOOKUP(consArgamassa[[#This Row],[Serviço]],Tabela4[],5,FALSE),"")</f>
        <v>0</v>
      </c>
      <c r="M375" s="22">
        <f>VLOOKUP(consArgamassa[[#This Row],[RecebID]],recebArgamassa[],14,FALSE)</f>
        <v>464.75</v>
      </c>
      <c r="N375" s="22">
        <f>IFERROR(VLOOKUP(consArgamassa[[#This Row],[Serviço]],Tabela4[],6,FALSE),"")</f>
        <v>500</v>
      </c>
      <c r="O375" s="1" t="s">
        <v>274</v>
      </c>
      <c r="P375" s="13">
        <v>36892</v>
      </c>
    </row>
    <row r="376" spans="1:16" x14ac:dyDescent="0.25">
      <c r="A376" s="1" t="s">
        <v>212</v>
      </c>
      <c r="B376" s="7" t="str">
        <f>CONCATENATE("CNSARG",TEXT(consArgamassa[[#This Row],[Ordem]],"00000"))</f>
        <v>CNSARG01076</v>
      </c>
      <c r="C376" s="7">
        <v>1076</v>
      </c>
      <c r="D376" s="10">
        <f>VLOOKUP(consArgamassa[[#This Row],[RecebID]],recebArgamassa[[RecebID]:[Insumo]],3,FALSE)</f>
        <v>45040.125</v>
      </c>
      <c r="E376" s="7" t="str">
        <f>VLOOKUP(consArgamassa[[#This Row],[RecebID]],recebArgamassa[[RecebID]:[Insumo]],4,FALSE)</f>
        <v>Argamassa Estabilizada</v>
      </c>
      <c r="F376" s="1" t="s">
        <v>264</v>
      </c>
      <c r="G376" s="1" t="s">
        <v>255</v>
      </c>
      <c r="H376" s="1">
        <v>2</v>
      </c>
      <c r="I376" s="1" t="s">
        <v>9</v>
      </c>
      <c r="K376" s="2">
        <v>2</v>
      </c>
      <c r="L376" s="23">
        <f>IFERROR(VLOOKUP(consArgamassa[[#This Row],[Serviço]],Tabela4[],5,FALSE),"")</f>
        <v>1.3352499999999998</v>
      </c>
      <c r="M376" s="22">
        <f>VLOOKUP(consArgamassa[[#This Row],[RecebID]],recebArgamassa[],14,FALSE)</f>
        <v>464.75</v>
      </c>
      <c r="N376" s="22">
        <f>IFERROR(VLOOKUP(consArgamassa[[#This Row],[Serviço]],Tabela4[],6,FALSE),"")</f>
        <v>500</v>
      </c>
      <c r="O376" s="1" t="s">
        <v>274</v>
      </c>
      <c r="P376" s="13">
        <v>36892</v>
      </c>
    </row>
    <row r="377" spans="1:16" x14ac:dyDescent="0.25">
      <c r="A377" s="1" t="s">
        <v>213</v>
      </c>
      <c r="B377" s="7" t="str">
        <f>CONCATENATE("CNSARG",TEXT(consArgamassa[[#This Row],[Ordem]],"00000"))</f>
        <v>CNSARG01077</v>
      </c>
      <c r="C377" s="7">
        <v>1077</v>
      </c>
      <c r="D377" s="10">
        <f>VLOOKUP(consArgamassa[[#This Row],[RecebID]],recebArgamassa[[RecebID]:[Insumo]],3,FALSE)</f>
        <v>45041.125</v>
      </c>
      <c r="E377" s="7" t="str">
        <f>VLOOKUP(consArgamassa[[#This Row],[RecebID]],recebArgamassa[[RecebID]:[Insumo]],4,FALSE)</f>
        <v>Argamassa Estabilizada</v>
      </c>
      <c r="F377" s="1" t="s">
        <v>264</v>
      </c>
      <c r="G377" s="1" t="s">
        <v>255</v>
      </c>
      <c r="H377" s="1">
        <v>2</v>
      </c>
      <c r="I377" s="1" t="s">
        <v>9</v>
      </c>
      <c r="K377" s="2">
        <v>1</v>
      </c>
      <c r="L377" s="23">
        <f>IFERROR(VLOOKUP(consArgamassa[[#This Row],[Serviço]],Tabela4[],5,FALSE),"")</f>
        <v>1.3352499999999998</v>
      </c>
      <c r="M377" s="22">
        <f>VLOOKUP(consArgamassa[[#This Row],[RecebID]],recebArgamassa[],14,FALSE)</f>
        <v>464.75</v>
      </c>
      <c r="N377" s="22">
        <f>IFERROR(VLOOKUP(consArgamassa[[#This Row],[Serviço]],Tabela4[],6,FALSE),"")</f>
        <v>500</v>
      </c>
      <c r="O377" s="1" t="s">
        <v>274</v>
      </c>
      <c r="P377" s="13">
        <v>36892</v>
      </c>
    </row>
    <row r="378" spans="1:16" x14ac:dyDescent="0.25">
      <c r="A378" s="1" t="s">
        <v>214</v>
      </c>
      <c r="B378" s="7" t="str">
        <f>CONCATENATE("CNSARG",TEXT(consArgamassa[[#This Row],[Ordem]],"00000"))</f>
        <v>CNSARG01078</v>
      </c>
      <c r="C378" s="7">
        <v>1078</v>
      </c>
      <c r="D378" s="10">
        <f>VLOOKUP(consArgamassa[[#This Row],[RecebID]],recebArgamassa[[RecebID]:[Insumo]],3,FALSE)</f>
        <v>44197</v>
      </c>
      <c r="E378" s="7" t="str">
        <f>VLOOKUP(consArgamassa[[#This Row],[RecebID]],recebArgamassa[[RecebID]:[Insumo]],4,FALSE)</f>
        <v>Argamassa Estabilizada</v>
      </c>
      <c r="F378" s="1" t="s">
        <v>247</v>
      </c>
      <c r="G378" s="1" t="s">
        <v>256</v>
      </c>
      <c r="H378" s="1">
        <v>10</v>
      </c>
      <c r="I378" s="1" t="s">
        <v>9</v>
      </c>
      <c r="K378" s="2">
        <v>1</v>
      </c>
      <c r="L378" s="23">
        <f>IFERROR(VLOOKUP(consArgamassa[[#This Row],[Serviço]],Tabela4[],5,FALSE),"")</f>
        <v>0</v>
      </c>
      <c r="M378" s="22">
        <f>VLOOKUP(consArgamassa[[#This Row],[RecebID]],recebArgamassa[],14,FALSE)</f>
        <v>464.75</v>
      </c>
      <c r="N378" s="22">
        <f>IFERROR(VLOOKUP(consArgamassa[[#This Row],[Serviço]],Tabela4[],6,FALSE),"")</f>
        <v>500</v>
      </c>
      <c r="O378" s="1" t="s">
        <v>274</v>
      </c>
      <c r="P378" s="13">
        <v>36892</v>
      </c>
    </row>
    <row r="379" spans="1:16" x14ac:dyDescent="0.25">
      <c r="A379" s="1" t="s">
        <v>215</v>
      </c>
      <c r="B379" s="7" t="str">
        <f>CONCATENATE("CNSARG",TEXT(consArgamassa[[#This Row],[Ordem]],"00000"))</f>
        <v>CNSARG01079</v>
      </c>
      <c r="C379" s="7">
        <v>1079</v>
      </c>
      <c r="D379" s="10">
        <f>VLOOKUP(consArgamassa[[#This Row],[RecebID]],recebArgamassa[[RecebID]:[Insumo]],3,FALSE)</f>
        <v>45044.125</v>
      </c>
      <c r="E379" s="7" t="str">
        <f>VLOOKUP(consArgamassa[[#This Row],[RecebID]],recebArgamassa[[RecebID]:[Insumo]],4,FALSE)</f>
        <v>Argamassa Estabilizada</v>
      </c>
      <c r="F379" s="1" t="s">
        <v>247</v>
      </c>
      <c r="G379" s="1" t="s">
        <v>256</v>
      </c>
      <c r="H379" s="1">
        <v>10</v>
      </c>
      <c r="I379" s="1" t="s">
        <v>9</v>
      </c>
      <c r="K379" s="2">
        <v>1</v>
      </c>
      <c r="L379" s="23">
        <f>IFERROR(VLOOKUP(consArgamassa[[#This Row],[Serviço]],Tabela4[],5,FALSE),"")</f>
        <v>0</v>
      </c>
      <c r="M379" s="22">
        <f>VLOOKUP(consArgamassa[[#This Row],[RecebID]],recebArgamassa[],14,FALSE)</f>
        <v>464.75</v>
      </c>
      <c r="N379" s="22">
        <f>IFERROR(VLOOKUP(consArgamassa[[#This Row],[Serviço]],Tabela4[],6,FALSE),"")</f>
        <v>500</v>
      </c>
      <c r="O379" s="1" t="s">
        <v>274</v>
      </c>
      <c r="P379" s="13">
        <v>36892</v>
      </c>
    </row>
    <row r="380" spans="1:16" x14ac:dyDescent="0.25">
      <c r="A380" s="1" t="s">
        <v>216</v>
      </c>
      <c r="B380" s="7" t="str">
        <f>CONCATENATE("CNSARG",TEXT(consArgamassa[[#This Row],[Ordem]],"00000"))</f>
        <v>CNSARG01080</v>
      </c>
      <c r="C380" s="7">
        <v>1080</v>
      </c>
      <c r="D380" s="10">
        <f>VLOOKUP(consArgamassa[[#This Row],[RecebID]],recebArgamassa[[RecebID]:[Insumo]],3,FALSE)</f>
        <v>45048.125</v>
      </c>
      <c r="E380" s="7" t="str">
        <f>VLOOKUP(consArgamassa[[#This Row],[RecebID]],recebArgamassa[[RecebID]:[Insumo]],4,FALSE)</f>
        <v>Argamassa Estabilizada</v>
      </c>
      <c r="F380" s="1" t="s">
        <v>264</v>
      </c>
      <c r="G380" s="1" t="s">
        <v>256</v>
      </c>
      <c r="H380" s="1">
        <v>2</v>
      </c>
      <c r="I380" s="1" t="s">
        <v>8</v>
      </c>
      <c r="K380" s="2">
        <v>1.5</v>
      </c>
      <c r="L380" s="23">
        <f>IFERROR(VLOOKUP(consArgamassa[[#This Row],[Serviço]],Tabela4[],5,FALSE),"")</f>
        <v>1.3352499999999998</v>
      </c>
      <c r="M380" s="22">
        <f>VLOOKUP(consArgamassa[[#This Row],[RecebID]],recebArgamassa[],14,FALSE)</f>
        <v>464.75</v>
      </c>
      <c r="N380" s="22">
        <f>IFERROR(VLOOKUP(consArgamassa[[#This Row],[Serviço]],Tabela4[],6,FALSE),"")</f>
        <v>500</v>
      </c>
      <c r="O380" s="1" t="s">
        <v>274</v>
      </c>
      <c r="P380" s="13">
        <v>36892</v>
      </c>
    </row>
    <row r="381" spans="1:16" x14ac:dyDescent="0.25">
      <c r="A381" s="1" t="s">
        <v>217</v>
      </c>
      <c r="B381" s="7" t="str">
        <f>CONCATENATE("CNSARG",TEXT(consArgamassa[[#This Row],[Ordem]],"00000"))</f>
        <v>CNSARG01081</v>
      </c>
      <c r="C381" s="7">
        <v>1081</v>
      </c>
      <c r="D381" s="10">
        <f>VLOOKUP(consArgamassa[[#This Row],[RecebID]],recebArgamassa[[RecebID]:[Insumo]],3,FALSE)</f>
        <v>45050.125</v>
      </c>
      <c r="E381" s="7" t="str">
        <f>VLOOKUP(consArgamassa[[#This Row],[RecebID]],recebArgamassa[[RecebID]:[Insumo]],4,FALSE)</f>
        <v>Argamassa Estabilizada</v>
      </c>
      <c r="F381" s="1" t="s">
        <v>247</v>
      </c>
      <c r="G381" s="1" t="s">
        <v>256</v>
      </c>
      <c r="H381" s="1">
        <v>2</v>
      </c>
      <c r="I381" s="1" t="s">
        <v>8</v>
      </c>
      <c r="K381" s="2">
        <v>0.5</v>
      </c>
      <c r="L381" s="23">
        <f>IFERROR(VLOOKUP(consArgamassa[[#This Row],[Serviço]],Tabela4[],5,FALSE),"")</f>
        <v>0</v>
      </c>
      <c r="M381" s="22">
        <f>VLOOKUP(consArgamassa[[#This Row],[RecebID]],recebArgamassa[],14,FALSE)</f>
        <v>464.75</v>
      </c>
      <c r="N381" s="22">
        <f>IFERROR(VLOOKUP(consArgamassa[[#This Row],[Serviço]],Tabela4[],6,FALSE),"")</f>
        <v>500</v>
      </c>
      <c r="O381" s="1" t="s">
        <v>274</v>
      </c>
      <c r="P381" s="13">
        <v>36892</v>
      </c>
    </row>
    <row r="382" spans="1:16" x14ac:dyDescent="0.25">
      <c r="A382" s="1" t="s">
        <v>219</v>
      </c>
      <c r="B382" s="7" t="str">
        <f>CONCATENATE("CNSARG",TEXT(consArgamassa[[#This Row],[Ordem]],"00000"))</f>
        <v>CNSARG01083</v>
      </c>
      <c r="C382" s="7">
        <v>1083</v>
      </c>
      <c r="D382" s="10">
        <f>VLOOKUP(consArgamassa[[#This Row],[RecebID]],recebArgamassa[[RecebID]:[Insumo]],3,FALSE)</f>
        <v>45054.125</v>
      </c>
      <c r="E382" s="7" t="str">
        <f>VLOOKUP(consArgamassa[[#This Row],[RecebID]],recebArgamassa[[RecebID]:[Insumo]],4,FALSE)</f>
        <v>Argamassa Estabilizada</v>
      </c>
      <c r="F382" s="1" t="s">
        <v>250</v>
      </c>
      <c r="G382" s="1" t="s">
        <v>270</v>
      </c>
      <c r="H382" s="1" t="s">
        <v>297</v>
      </c>
      <c r="I382" s="1" t="s">
        <v>10</v>
      </c>
      <c r="J382" s="1" t="s">
        <v>239</v>
      </c>
      <c r="K382" s="2">
        <v>1</v>
      </c>
      <c r="L382" s="23">
        <f>IFERROR(VLOOKUP(consArgamassa[[#This Row],[Serviço]],Tabela4[],5,FALSE),"")</f>
        <v>0</v>
      </c>
      <c r="M382" s="22">
        <f>VLOOKUP(consArgamassa[[#This Row],[RecebID]],recebArgamassa[],14,FALSE)</f>
        <v>464.75</v>
      </c>
      <c r="N382" s="22">
        <f>IFERROR(VLOOKUP(consArgamassa[[#This Row],[Serviço]],Tabela4[],6,FALSE),"")</f>
        <v>500</v>
      </c>
      <c r="O382" s="1" t="s">
        <v>274</v>
      </c>
      <c r="P382" s="13">
        <v>36892</v>
      </c>
    </row>
    <row r="383" spans="1:16" x14ac:dyDescent="0.25">
      <c r="A383" s="1" t="s">
        <v>220</v>
      </c>
      <c r="B383" s="7" t="str">
        <f>CONCATENATE("CNSARG",TEXT(consArgamassa[[#This Row],[Ordem]],"00000"))</f>
        <v>CNSARG01084</v>
      </c>
      <c r="C383" s="7">
        <v>1084</v>
      </c>
      <c r="D383" s="10">
        <f>VLOOKUP(consArgamassa[[#This Row],[RecebID]],recebArgamassa[[RecebID]:[Insumo]],3,FALSE)</f>
        <v>45055.125</v>
      </c>
      <c r="E383" s="7" t="str">
        <f>VLOOKUP(consArgamassa[[#This Row],[RecebID]],recebArgamassa[[RecebID]:[Insumo]],4,FALSE)</f>
        <v>Argamassa Estabilizada</v>
      </c>
      <c r="F383" s="1" t="s">
        <v>250</v>
      </c>
      <c r="G383" s="1" t="s">
        <v>270</v>
      </c>
      <c r="H383" s="1" t="s">
        <v>297</v>
      </c>
      <c r="I383" s="1" t="s">
        <v>10</v>
      </c>
      <c r="J383" s="1" t="s">
        <v>239</v>
      </c>
      <c r="K383" s="2">
        <v>1</v>
      </c>
      <c r="L383" s="23">
        <f>IFERROR(VLOOKUP(consArgamassa[[#This Row],[Serviço]],Tabela4[],5,FALSE),"")</f>
        <v>0</v>
      </c>
      <c r="M383" s="22">
        <f>VLOOKUP(consArgamassa[[#This Row],[RecebID]],recebArgamassa[],14,FALSE)</f>
        <v>464.75</v>
      </c>
      <c r="N383" s="22">
        <f>IFERROR(VLOOKUP(consArgamassa[[#This Row],[Serviço]],Tabela4[],6,FALSE),"")</f>
        <v>500</v>
      </c>
      <c r="O383" s="1" t="s">
        <v>274</v>
      </c>
      <c r="P383" s="13">
        <v>36892</v>
      </c>
    </row>
    <row r="384" spans="1:16" x14ac:dyDescent="0.25">
      <c r="A384" s="1" t="s">
        <v>222</v>
      </c>
      <c r="B384" s="7" t="str">
        <f>CONCATENATE("CNSARG",TEXT(consArgamassa[[#This Row],[Ordem]],"00000"))</f>
        <v>CNSARG01086</v>
      </c>
      <c r="C384" s="7">
        <v>1086</v>
      </c>
      <c r="D384" s="10">
        <f>VLOOKUP(consArgamassa[[#This Row],[RecebID]],recebArgamassa[[RecebID]:[Insumo]],3,FALSE)</f>
        <v>45057.125</v>
      </c>
      <c r="E384" s="7" t="str">
        <f>VLOOKUP(consArgamassa[[#This Row],[RecebID]],recebArgamassa[[RecebID]:[Insumo]],4,FALSE)</f>
        <v>Argamassa Estabilizada</v>
      </c>
      <c r="F384" s="1" t="s">
        <v>252</v>
      </c>
      <c r="G384" s="1" t="s">
        <v>270</v>
      </c>
      <c r="H384" s="1" t="s">
        <v>297</v>
      </c>
      <c r="J384" s="1" t="s">
        <v>252</v>
      </c>
      <c r="K384" s="2">
        <v>1.5</v>
      </c>
      <c r="L384" s="23">
        <f>IFERROR(VLOOKUP(consArgamassa[[#This Row],[Serviço]],Tabela4[],5,FALSE),"")</f>
        <v>0</v>
      </c>
      <c r="M384" s="22">
        <f>VLOOKUP(consArgamassa[[#This Row],[RecebID]],recebArgamassa[],14,FALSE)</f>
        <v>464.75</v>
      </c>
      <c r="N384" s="22">
        <f>IFERROR(VLOOKUP(consArgamassa[[#This Row],[Serviço]],Tabela4[],6,FALSE),"")</f>
        <v>500</v>
      </c>
      <c r="O384" s="1" t="s">
        <v>274</v>
      </c>
      <c r="P384" s="13">
        <v>36892</v>
      </c>
    </row>
    <row r="385" spans="1:16" x14ac:dyDescent="0.25">
      <c r="A385" s="1" t="s">
        <v>223</v>
      </c>
      <c r="B385" s="7" t="str">
        <f>CONCATENATE("CNSARG",TEXT(consArgamassa[[#This Row],[Ordem]],"00000"))</f>
        <v>CNSARG01087</v>
      </c>
      <c r="C385" s="7">
        <v>1087</v>
      </c>
      <c r="D385" s="10">
        <f>VLOOKUP(consArgamassa[[#This Row],[RecebID]],recebArgamassa[[RecebID]:[Insumo]],3,FALSE)</f>
        <v>45061.125</v>
      </c>
      <c r="E385" s="7" t="str">
        <f>VLOOKUP(consArgamassa[[#This Row],[RecebID]],recebArgamassa[[RecebID]:[Insumo]],4,FALSE)</f>
        <v>Argamassa Estabilizada</v>
      </c>
      <c r="F385" s="1" t="s">
        <v>247</v>
      </c>
      <c r="G385" s="1" t="s">
        <v>255</v>
      </c>
      <c r="H385" s="1">
        <v>3</v>
      </c>
      <c r="I385" s="1" t="s">
        <v>10</v>
      </c>
      <c r="K385" s="2">
        <v>1</v>
      </c>
      <c r="L385" s="23">
        <f>IFERROR(VLOOKUP(consArgamassa[[#This Row],[Serviço]],Tabela4[],5,FALSE),"")</f>
        <v>0</v>
      </c>
      <c r="M385" s="22">
        <f>VLOOKUP(consArgamassa[[#This Row],[RecebID]],recebArgamassa[],14,FALSE)</f>
        <v>464.75</v>
      </c>
      <c r="N385" s="22">
        <f>IFERROR(VLOOKUP(consArgamassa[[#This Row],[Serviço]],Tabela4[],6,FALSE),"")</f>
        <v>500</v>
      </c>
      <c r="O385" s="1" t="s">
        <v>274</v>
      </c>
      <c r="P385" s="13">
        <v>36892</v>
      </c>
    </row>
    <row r="386" spans="1:16" x14ac:dyDescent="0.25">
      <c r="A386" s="1" t="s">
        <v>225</v>
      </c>
      <c r="B386" s="7" t="str">
        <f>CONCATENATE("CNSARG",TEXT(consArgamassa[[#This Row],[Ordem]],"00000"))</f>
        <v>CNSARG01089</v>
      </c>
      <c r="C386" s="7">
        <v>1089</v>
      </c>
      <c r="D386" s="10">
        <f>VLOOKUP(consArgamassa[[#This Row],[RecebID]],recebArgamassa[[RecebID]:[Insumo]],3,FALSE)</f>
        <v>45063.125</v>
      </c>
      <c r="E386" s="7" t="str">
        <f>VLOOKUP(consArgamassa[[#This Row],[RecebID]],recebArgamassa[[RecebID]:[Insumo]],4,FALSE)</f>
        <v>Argamassa Estabilizada</v>
      </c>
      <c r="F386" s="1" t="s">
        <v>250</v>
      </c>
      <c r="G386" s="1" t="s">
        <v>270</v>
      </c>
      <c r="H386" s="1" t="s">
        <v>296</v>
      </c>
      <c r="I386" s="1" t="s">
        <v>10</v>
      </c>
      <c r="J386" s="1" t="s">
        <v>240</v>
      </c>
      <c r="K386" s="2">
        <v>1</v>
      </c>
      <c r="L386" s="23">
        <f>IFERROR(VLOOKUP(consArgamassa[[#This Row],[Serviço]],Tabela4[],5,FALSE),"")</f>
        <v>0</v>
      </c>
      <c r="M386" s="22">
        <f>VLOOKUP(consArgamassa[[#This Row],[RecebID]],recebArgamassa[],14,FALSE)</f>
        <v>464.75</v>
      </c>
      <c r="N386" s="22">
        <f>IFERROR(VLOOKUP(consArgamassa[[#This Row],[Serviço]],Tabela4[],6,FALSE),"")</f>
        <v>500</v>
      </c>
      <c r="O386" s="1" t="s">
        <v>274</v>
      </c>
      <c r="P386" s="13">
        <v>36892</v>
      </c>
    </row>
    <row r="387" spans="1:16" x14ac:dyDescent="0.25">
      <c r="A387" s="1" t="s">
        <v>226</v>
      </c>
      <c r="B387" s="7" t="str">
        <f>CONCATENATE("CNSARG",TEXT(consArgamassa[[#This Row],[Ordem]],"00000"))</f>
        <v>CNSARG01090</v>
      </c>
      <c r="C387" s="7">
        <v>1090</v>
      </c>
      <c r="D387" s="10">
        <f>VLOOKUP(consArgamassa[[#This Row],[RecebID]],recebArgamassa[[RecebID]:[Insumo]],3,FALSE)</f>
        <v>45063.125</v>
      </c>
      <c r="E387" s="7" t="str">
        <f>VLOOKUP(consArgamassa[[#This Row],[RecebID]],recebArgamassa[[RecebID]:[Insumo]],4,FALSE)</f>
        <v>Argamassa Estabilizada</v>
      </c>
      <c r="F387" s="1" t="s">
        <v>250</v>
      </c>
      <c r="G387" s="1" t="s">
        <v>270</v>
      </c>
      <c r="H387" s="1" t="s">
        <v>296</v>
      </c>
      <c r="I387" s="1" t="s">
        <v>10</v>
      </c>
      <c r="J387" s="1" t="s">
        <v>240</v>
      </c>
      <c r="K387" s="2">
        <v>1</v>
      </c>
      <c r="L387" s="23">
        <f>IFERROR(VLOOKUP(consArgamassa[[#This Row],[Serviço]],Tabela4[],5,FALSE),"")</f>
        <v>0</v>
      </c>
      <c r="M387" s="22">
        <f>VLOOKUP(consArgamassa[[#This Row],[RecebID]],recebArgamassa[],14,FALSE)</f>
        <v>464.75</v>
      </c>
      <c r="N387" s="22">
        <f>IFERROR(VLOOKUP(consArgamassa[[#This Row],[Serviço]],Tabela4[],6,FALSE),"")</f>
        <v>500</v>
      </c>
      <c r="O387" s="1" t="s">
        <v>274</v>
      </c>
      <c r="P387" s="13">
        <v>36892</v>
      </c>
    </row>
    <row r="388" spans="1:16" x14ac:dyDescent="0.25">
      <c r="A388" s="1" t="s">
        <v>227</v>
      </c>
      <c r="B388" s="7" t="str">
        <f>CONCATENATE("CNSARG",TEXT(consArgamassa[[#This Row],[Ordem]],"00000"))</f>
        <v>CNSARG01091</v>
      </c>
      <c r="C388" s="7">
        <v>1091</v>
      </c>
      <c r="D388" s="10">
        <f>VLOOKUP(consArgamassa[[#This Row],[RecebID]],recebArgamassa[[RecebID]:[Insumo]],3,FALSE)</f>
        <v>45068.125</v>
      </c>
      <c r="E388" s="7" t="str">
        <f>VLOOKUP(consArgamassa[[#This Row],[RecebID]],recebArgamassa[[RecebID]:[Insumo]],4,FALSE)</f>
        <v>Argamassa Estabilizada</v>
      </c>
      <c r="F388" s="1" t="s">
        <v>250</v>
      </c>
      <c r="G388" s="1" t="s">
        <v>270</v>
      </c>
      <c r="H388" s="1" t="s">
        <v>297</v>
      </c>
      <c r="I388" s="1" t="s">
        <v>10</v>
      </c>
      <c r="J388" s="1" t="s">
        <v>246</v>
      </c>
      <c r="K388" s="2">
        <v>1.5</v>
      </c>
      <c r="L388" s="23">
        <f>IFERROR(VLOOKUP(consArgamassa[[#This Row],[Serviço]],Tabela4[],5,FALSE),"")</f>
        <v>0</v>
      </c>
      <c r="M388" s="22">
        <f>VLOOKUP(consArgamassa[[#This Row],[RecebID]],recebArgamassa[],14,FALSE)</f>
        <v>464.75</v>
      </c>
      <c r="N388" s="22">
        <f>IFERROR(VLOOKUP(consArgamassa[[#This Row],[Serviço]],Tabela4[],6,FALSE),"")</f>
        <v>500</v>
      </c>
      <c r="O388" s="1" t="s">
        <v>274</v>
      </c>
      <c r="P388" s="13">
        <v>36892</v>
      </c>
    </row>
    <row r="389" spans="1:16" x14ac:dyDescent="0.25">
      <c r="A389" s="1" t="s">
        <v>228</v>
      </c>
      <c r="B389" s="7" t="str">
        <f>CONCATENATE("CNSARG",TEXT(consArgamassa[[#This Row],[Ordem]],"00000"))</f>
        <v>CNSARG01092</v>
      </c>
      <c r="C389" s="7">
        <v>1092</v>
      </c>
      <c r="D389" s="10">
        <f>VLOOKUP(consArgamassa[[#This Row],[RecebID]],recebArgamassa[[RecebID]:[Insumo]],3,FALSE)</f>
        <v>45069.125</v>
      </c>
      <c r="E389" s="7" t="str">
        <f>VLOOKUP(consArgamassa[[#This Row],[RecebID]],recebArgamassa[[RecebID]:[Insumo]],4,FALSE)</f>
        <v>Argamassa Estabilizada</v>
      </c>
      <c r="F389" s="1" t="s">
        <v>239</v>
      </c>
      <c r="G389" s="1" t="s">
        <v>270</v>
      </c>
      <c r="H389" s="1" t="s">
        <v>297</v>
      </c>
      <c r="I389" s="1" t="s">
        <v>10</v>
      </c>
      <c r="J389" s="1" t="s">
        <v>239</v>
      </c>
      <c r="K389" s="2">
        <v>1</v>
      </c>
      <c r="L389" s="23">
        <f>IFERROR(VLOOKUP(consArgamassa[[#This Row],[Serviço]],Tabela4[],5,FALSE),"")</f>
        <v>0</v>
      </c>
      <c r="M389" s="22">
        <f>VLOOKUP(consArgamassa[[#This Row],[RecebID]],recebArgamassa[],14,FALSE)</f>
        <v>464.75</v>
      </c>
      <c r="N389" s="22">
        <f>IFERROR(VLOOKUP(consArgamassa[[#This Row],[Serviço]],Tabela4[],6,FALSE),"")</f>
        <v>500</v>
      </c>
      <c r="O389" s="1" t="s">
        <v>274</v>
      </c>
      <c r="P389" s="13">
        <v>36892</v>
      </c>
    </row>
    <row r="390" spans="1:16" x14ac:dyDescent="0.25">
      <c r="A390" s="1" t="s">
        <v>230</v>
      </c>
      <c r="B390" s="7" t="str">
        <f>CONCATENATE("CNSARG",TEXT(consArgamassa[[#This Row],[Ordem]],"00000"))</f>
        <v>CNSARG01094</v>
      </c>
      <c r="C390" s="7">
        <v>1094</v>
      </c>
      <c r="D390" s="10">
        <f>VLOOKUP(consArgamassa[[#This Row],[RecebID]],recebArgamassa[[RecebID]:[Insumo]],3,FALSE)</f>
        <v>45075.125</v>
      </c>
      <c r="E390" s="7" t="str">
        <f>VLOOKUP(consArgamassa[[#This Row],[RecebID]],recebArgamassa[[RecebID]:[Insumo]],4,FALSE)</f>
        <v>Argamassa Estabilizada</v>
      </c>
      <c r="F390" s="1" t="s">
        <v>250</v>
      </c>
      <c r="G390" s="1" t="s">
        <v>270</v>
      </c>
      <c r="H390" s="1" t="s">
        <v>297</v>
      </c>
      <c r="I390" s="1" t="s">
        <v>10</v>
      </c>
      <c r="J390" s="1" t="s">
        <v>246</v>
      </c>
      <c r="K390" s="2">
        <v>0.5</v>
      </c>
      <c r="L390" s="23">
        <f>IFERROR(VLOOKUP(consArgamassa[[#This Row],[Serviço]],Tabela4[],5,FALSE),"")</f>
        <v>0</v>
      </c>
      <c r="M390" s="22">
        <f>VLOOKUP(consArgamassa[[#This Row],[RecebID]],recebArgamassa[],14,FALSE)</f>
        <v>464.75</v>
      </c>
      <c r="N390" s="22">
        <f>IFERROR(VLOOKUP(consArgamassa[[#This Row],[Serviço]],Tabela4[],6,FALSE),"")</f>
        <v>500</v>
      </c>
      <c r="O390" s="1" t="s">
        <v>274</v>
      </c>
      <c r="P390" s="13">
        <v>36892</v>
      </c>
    </row>
    <row r="391" spans="1:16" x14ac:dyDescent="0.25">
      <c r="A391" s="1" t="s">
        <v>233</v>
      </c>
      <c r="B391" s="7" t="str">
        <f>CONCATENATE("CNSARG",TEXT(consArgamassa[[#This Row],[Ordem]],"00000"))</f>
        <v>CNSARG01097</v>
      </c>
      <c r="C391" s="7">
        <v>1097</v>
      </c>
      <c r="D391" s="10">
        <f>VLOOKUP(consArgamassa[[#This Row],[RecebID]],recebArgamassa[[RecebID]:[Insumo]],3,FALSE)</f>
        <v>44197</v>
      </c>
      <c r="E391" s="7" t="str">
        <f>VLOOKUP(consArgamassa[[#This Row],[RecebID]],recebArgamassa[[RecebID]:[Insumo]],4,FALSE)</f>
        <v>Argamassa Estabilizada</v>
      </c>
      <c r="F391" s="1" t="s">
        <v>239</v>
      </c>
      <c r="G391" s="1" t="s">
        <v>270</v>
      </c>
      <c r="H391" s="1" t="s">
        <v>297</v>
      </c>
      <c r="I391" s="1" t="s">
        <v>10</v>
      </c>
      <c r="J391" s="1" t="s">
        <v>239</v>
      </c>
      <c r="K391" s="2">
        <v>1</v>
      </c>
      <c r="L391" s="23">
        <f>IFERROR(VLOOKUP(consArgamassa[[#This Row],[Serviço]],Tabela4[],5,FALSE),"")</f>
        <v>0</v>
      </c>
      <c r="M391" s="22">
        <f>VLOOKUP(consArgamassa[[#This Row],[RecebID]],recebArgamassa[],14,FALSE)</f>
        <v>464.75</v>
      </c>
      <c r="N391" s="22">
        <f>IFERROR(VLOOKUP(consArgamassa[[#This Row],[Serviço]],Tabela4[],6,FALSE),"")</f>
        <v>500</v>
      </c>
      <c r="O391" s="1" t="s">
        <v>274</v>
      </c>
      <c r="P391" s="13">
        <v>36892</v>
      </c>
    </row>
    <row r="392" spans="1:16" x14ac:dyDescent="0.25">
      <c r="A392" s="1" t="s">
        <v>234</v>
      </c>
      <c r="B392" s="7" t="str">
        <f>CONCATENATE("CNSARG",TEXT(consArgamassa[[#This Row],[Ordem]],"00000"))</f>
        <v>CNSARG01098</v>
      </c>
      <c r="C392" s="7">
        <v>1098</v>
      </c>
      <c r="D392" s="10">
        <f>VLOOKUP(consArgamassa[[#This Row],[RecebID]],recebArgamassa[[RecebID]:[Insumo]],3,FALSE)</f>
        <v>45077.125</v>
      </c>
      <c r="E392" s="7" t="str">
        <f>VLOOKUP(consArgamassa[[#This Row],[RecebID]],recebArgamassa[[RecebID]:[Insumo]],4,FALSE)</f>
        <v>Argamassa Estabilizada</v>
      </c>
      <c r="F392" s="1" t="s">
        <v>239</v>
      </c>
      <c r="G392" s="1" t="s">
        <v>270</v>
      </c>
      <c r="H392" s="1" t="s">
        <v>297</v>
      </c>
      <c r="I392" s="1" t="s">
        <v>10</v>
      </c>
      <c r="J392" s="1" t="s">
        <v>239</v>
      </c>
      <c r="K392" s="2">
        <v>1</v>
      </c>
      <c r="L392" s="23">
        <f>IFERROR(VLOOKUP(consArgamassa[[#This Row],[Serviço]],Tabela4[],5,FALSE),"")</f>
        <v>0</v>
      </c>
      <c r="M392" s="22">
        <f>VLOOKUP(consArgamassa[[#This Row],[RecebID]],recebArgamassa[],14,FALSE)</f>
        <v>464.75</v>
      </c>
      <c r="N392" s="22">
        <f>IFERROR(VLOOKUP(consArgamassa[[#This Row],[Serviço]],Tabela4[],6,FALSE),"")</f>
        <v>500</v>
      </c>
      <c r="O392" s="1" t="s">
        <v>274</v>
      </c>
      <c r="P392" s="13">
        <v>36892</v>
      </c>
    </row>
  </sheetData>
  <sheetProtection selectLockedCells="1" autoFilter="0" pivotTables="0"/>
  <phoneticPr fontId="3" type="noConversion"/>
  <dataValidations count="3">
    <dataValidation type="list" allowBlank="1" showInputMessage="1" showErrorMessage="1" sqref="G3:G392" xr:uid="{BC309B1D-1C06-4CE9-8423-C5D01E5C61E4}">
      <formula1>"A,B,Geral"</formula1>
    </dataValidation>
    <dataValidation type="list" allowBlank="1" showInputMessage="1" showErrorMessage="1" sqref="H3:H392" xr:uid="{B6D4B5F1-A67F-40B3-A202-3D91ADB210D7}">
      <formula1>"1,2,3,4,5,6,7,8,9,10,Equipamentos Comunitários,Infraestrutura"</formula1>
    </dataValidation>
    <dataValidation type="list" allowBlank="1" showInputMessage="1" showErrorMessage="1" sqref="I3:I392" xr:uid="{B8AD8758-2391-46F5-94D7-0BB6B9A6F207}">
      <formula1>"Térreo,Primeiro,Segundo,Terceiro,Cobertura"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D4B4-5490-441B-A59E-9C31742C860A}">
  <sheetPr codeName="Planilha1"/>
  <dimension ref="A1:F15"/>
  <sheetViews>
    <sheetView workbookViewId="0">
      <selection activeCell="E6" sqref="E6"/>
    </sheetView>
  </sheetViews>
  <sheetFormatPr defaultRowHeight="15" x14ac:dyDescent="0.25"/>
  <cols>
    <col min="1" max="1" width="26.140625" bestFit="1" customWidth="1"/>
    <col min="2" max="2" width="12.7109375" bestFit="1" customWidth="1"/>
    <col min="3" max="3" width="13.7109375" style="19" bestFit="1" customWidth="1"/>
    <col min="4" max="4" width="10.28515625" style="20" bestFit="1" customWidth="1"/>
    <col min="5" max="5" width="22" style="20" bestFit="1" customWidth="1"/>
    <col min="6" max="6" width="10.5703125" bestFit="1" customWidth="1"/>
  </cols>
  <sheetData>
    <row r="1" spans="1:6" x14ac:dyDescent="0.25">
      <c r="A1" t="s">
        <v>2</v>
      </c>
      <c r="B1" t="s">
        <v>280</v>
      </c>
      <c r="C1" s="19" t="s">
        <v>281</v>
      </c>
      <c r="D1" s="20" t="s">
        <v>282</v>
      </c>
      <c r="E1" s="20" t="s">
        <v>283</v>
      </c>
      <c r="F1" t="s">
        <v>292</v>
      </c>
    </row>
    <row r="2" spans="1:6" x14ac:dyDescent="0.25">
      <c r="A2" t="s">
        <v>276</v>
      </c>
      <c r="B2" t="s">
        <v>270</v>
      </c>
      <c r="C2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11</v>
      </c>
      <c r="D2" s="20">
        <v>9</v>
      </c>
      <c r="E2" s="20">
        <f>IFERROR(Tabela4[[#This Row],[Volume]]/Tabela4[[#This Row],[Quantidade]],0)</f>
        <v>0.81818181818181823</v>
      </c>
      <c r="F2" s="21">
        <v>500</v>
      </c>
    </row>
    <row r="3" spans="1:6" x14ac:dyDescent="0.25">
      <c r="A3" t="s">
        <v>254</v>
      </c>
      <c r="B3" t="s">
        <v>270</v>
      </c>
      <c r="C3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4</v>
      </c>
      <c r="D3" s="20">
        <v>0</v>
      </c>
      <c r="E3" s="20">
        <f>IFERROR(Tabela4[[#This Row],[Volume]]/Tabela4[[#This Row],[Quantidade]],0)</f>
        <v>0</v>
      </c>
      <c r="F3" s="21">
        <v>500</v>
      </c>
    </row>
    <row r="4" spans="1:6" x14ac:dyDescent="0.25">
      <c r="A4" t="s">
        <v>268</v>
      </c>
      <c r="B4" t="s">
        <v>270</v>
      </c>
      <c r="C4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9</v>
      </c>
      <c r="D4" s="20">
        <v>0</v>
      </c>
      <c r="E4" s="20">
        <f>IFERROR(Tabela4[[#This Row],[Volume]]/Tabela4[[#This Row],[Quantidade]],0)</f>
        <v>0</v>
      </c>
      <c r="F4" s="21">
        <v>500</v>
      </c>
    </row>
    <row r="5" spans="1:6" x14ac:dyDescent="0.25">
      <c r="A5" t="s">
        <v>239</v>
      </c>
      <c r="B5" t="s">
        <v>270</v>
      </c>
      <c r="C5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40</v>
      </c>
      <c r="D5" s="20">
        <v>0</v>
      </c>
      <c r="E5" s="20">
        <f>IFERROR(Tabela4[[#This Row],[Volume]]/Tabela4[[#This Row],[Quantidade]],0)</f>
        <v>0</v>
      </c>
      <c r="F5" s="21">
        <v>500</v>
      </c>
    </row>
    <row r="6" spans="1:6" x14ac:dyDescent="0.25">
      <c r="A6" t="s">
        <v>253</v>
      </c>
      <c r="B6" t="s">
        <v>270</v>
      </c>
      <c r="C6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2</v>
      </c>
      <c r="D6" s="20">
        <v>0</v>
      </c>
      <c r="E6" s="20">
        <f>IFERROR(Tabela4[[#This Row],[Volume]]/Tabela4[[#This Row],[Quantidade]],0)</f>
        <v>0</v>
      </c>
      <c r="F6" s="21">
        <v>500</v>
      </c>
    </row>
    <row r="7" spans="1:6" x14ac:dyDescent="0.25">
      <c r="A7" t="s">
        <v>251</v>
      </c>
      <c r="B7" t="s">
        <v>6</v>
      </c>
      <c r="C7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10</v>
      </c>
      <c r="D7" s="20">
        <v>0</v>
      </c>
      <c r="E7" s="20">
        <f>IFERROR(Tabela4[[#This Row],[Volume]]/Tabela4[[#This Row],[Quantidade]],0)</f>
        <v>0</v>
      </c>
      <c r="F7" s="21">
        <v>500</v>
      </c>
    </row>
    <row r="8" spans="1:6" x14ac:dyDescent="0.25">
      <c r="A8" t="s">
        <v>252</v>
      </c>
      <c r="B8" t="s">
        <v>270</v>
      </c>
      <c r="C8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4</v>
      </c>
      <c r="D8" s="20">
        <v>0</v>
      </c>
      <c r="E8" s="20">
        <f>IFERROR(Tabela4[[#This Row],[Volume]]/Tabela4[[#This Row],[Quantidade]],0)</f>
        <v>0</v>
      </c>
      <c r="F8" s="21">
        <v>500</v>
      </c>
    </row>
    <row r="9" spans="1:6" x14ac:dyDescent="0.25">
      <c r="A9" t="s">
        <v>250</v>
      </c>
      <c r="B9" t="s">
        <v>270</v>
      </c>
      <c r="C9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61</v>
      </c>
      <c r="D9" s="20">
        <v>0</v>
      </c>
      <c r="E9" s="20">
        <f>IFERROR(Tabela4[[#This Row],[Volume]]/Tabela4[[#This Row],[Quantidade]],0)</f>
        <v>0</v>
      </c>
      <c r="F9" s="21">
        <v>500</v>
      </c>
    </row>
    <row r="10" spans="1:6" x14ac:dyDescent="0.25">
      <c r="A10" t="s">
        <v>249</v>
      </c>
      <c r="B10" t="s">
        <v>270</v>
      </c>
      <c r="C10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16</v>
      </c>
      <c r="D10" s="20">
        <v>2</v>
      </c>
      <c r="E10" s="20">
        <f>IFERROR(Tabela4[[#This Row],[Volume]]/Tabela4[[#This Row],[Quantidade]],0)</f>
        <v>0.125</v>
      </c>
      <c r="F10" s="21">
        <v>500</v>
      </c>
    </row>
    <row r="11" spans="1:6" x14ac:dyDescent="0.25">
      <c r="A11" t="s">
        <v>248</v>
      </c>
      <c r="B11" t="s">
        <v>6</v>
      </c>
      <c r="C11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10</v>
      </c>
      <c r="D11" s="20">
        <v>19.8</v>
      </c>
      <c r="E11" s="20">
        <f>IFERROR(Tabela4[[#This Row],[Volume]]/Tabela4[[#This Row],[Quantidade]],0)</f>
        <v>1.98</v>
      </c>
      <c r="F11" s="21">
        <v>500</v>
      </c>
    </row>
    <row r="12" spans="1:6" x14ac:dyDescent="0.25">
      <c r="A12" t="s">
        <v>264</v>
      </c>
      <c r="B12" t="s">
        <v>278</v>
      </c>
      <c r="C12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320</v>
      </c>
      <c r="D12" s="20">
        <v>427.28</v>
      </c>
      <c r="E12" s="20">
        <f>IFERROR(Tabela4[[#This Row],[Volume]]/Tabela4[[#This Row],[Quantidade]],0)</f>
        <v>1.3352499999999998</v>
      </c>
      <c r="F12" s="21">
        <v>500</v>
      </c>
    </row>
    <row r="13" spans="1:6" x14ac:dyDescent="0.25">
      <c r="A13" t="s">
        <v>247</v>
      </c>
      <c r="B13" t="s">
        <v>278</v>
      </c>
      <c r="C13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320</v>
      </c>
      <c r="D13" s="20">
        <v>0</v>
      </c>
      <c r="E13" s="20">
        <f>IFERROR(Tabela4[[#This Row],[Volume]]/Tabela4[[#This Row],[Quantidade]],0)</f>
        <v>0</v>
      </c>
      <c r="F13" s="21">
        <v>500</v>
      </c>
    </row>
    <row r="14" spans="1:6" x14ac:dyDescent="0.25">
      <c r="A14" t="s">
        <v>277</v>
      </c>
      <c r="B14" t="s">
        <v>270</v>
      </c>
      <c r="C14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0</v>
      </c>
      <c r="D14" s="20">
        <v>0</v>
      </c>
      <c r="E14" s="20">
        <f>IFERROR(Tabela4[[#This Row],[Volume]]/Tabela4[[#This Row],[Quantidade]],0)</f>
        <v>0</v>
      </c>
      <c r="F14" s="21">
        <v>500</v>
      </c>
    </row>
    <row r="15" spans="1:6" x14ac:dyDescent="0.25">
      <c r="A15" t="s">
        <v>279</v>
      </c>
      <c r="B15" t="s">
        <v>270</v>
      </c>
      <c r="C15" s="19">
        <f>IF(Tabela4[[#This Row],[Divisão]]="Apartamento",320,
IF(Tabela4[[#This Row],[Divisão]]="Bloco",10,
IF(Tabela4[[#This Row],[Divisão]]="Coluna",20,
IF(Tabela4[[#This Row],[Divisão]]="Hall",80,
COUNTIFS(consArgamassa[Serviço],Tabela4[[#This Row],[Serviço]])))))</f>
        <v>0</v>
      </c>
      <c r="D15" s="20">
        <v>0</v>
      </c>
      <c r="E15" s="20">
        <f>IFERROR(Tabela4[[#This Row],[Volume]]/Tabela4[[#This Row],[Quantidade]],0)</f>
        <v>0</v>
      </c>
      <c r="F15" s="21">
        <v>500</v>
      </c>
    </row>
  </sheetData>
  <sortState xmlns:xlrd2="http://schemas.microsoft.com/office/spreadsheetml/2017/richdata2" ref="A2:A13">
    <sortCondition ref="A2:A13"/>
  </sortState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90200-1C4C-4AD0-9DA8-7D16E93B52EA}">
  <sheetPr codeName="Planilha9">
    <tabColor theme="0" tint="-0.499984740745262"/>
  </sheetPr>
  <dimension ref="A1:B4"/>
  <sheetViews>
    <sheetView workbookViewId="0">
      <selection activeCell="E6" sqref="E6"/>
    </sheetView>
  </sheetViews>
  <sheetFormatPr defaultRowHeight="15" x14ac:dyDescent="0.25"/>
  <cols>
    <col min="1" max="1" width="16.28515625" bestFit="1" customWidth="1"/>
    <col min="2" max="2" width="12.85546875" bestFit="1" customWidth="1"/>
  </cols>
  <sheetData>
    <row r="1" spans="1:2" x14ac:dyDescent="0.25">
      <c r="A1" t="s">
        <v>284</v>
      </c>
      <c r="B1" t="s">
        <v>285</v>
      </c>
    </row>
    <row r="2" spans="1:2" x14ac:dyDescent="0.25">
      <c r="A2" t="s">
        <v>274</v>
      </c>
      <c r="B2" t="s">
        <v>286</v>
      </c>
    </row>
    <row r="3" spans="1:2" x14ac:dyDescent="0.25">
      <c r="A3" t="s">
        <v>287</v>
      </c>
      <c r="B3" t="s">
        <v>288</v>
      </c>
    </row>
    <row r="4" spans="1:2" x14ac:dyDescent="0.25">
      <c r="A4" t="s">
        <v>289</v>
      </c>
      <c r="B4" t="s">
        <v>288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Recebimento</vt:lpstr>
      <vt:lpstr>Consumo</vt:lpstr>
      <vt:lpstr>Projetado</vt:lpstr>
      <vt:lpstr>validUser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planejamento02</dc:creator>
  <cp:lastModifiedBy>planejamento02</cp:lastModifiedBy>
  <dcterms:created xsi:type="dcterms:W3CDTF">2023-06-19T18:45:17Z</dcterms:created>
  <dcterms:modified xsi:type="dcterms:W3CDTF">2023-07-03T17:49:26Z</dcterms:modified>
</cp:coreProperties>
</file>